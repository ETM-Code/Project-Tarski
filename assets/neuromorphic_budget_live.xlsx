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eoghancollins/Tarskii/OG Tarski Files/"/>
    </mc:Choice>
  </mc:AlternateContent>
  <xr:revisionPtr revIDLastSave="0" documentId="13_ncr:1_{EAB7B66F-830F-5B42-A9EC-B4EDBD1AEDB9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Assumptions" sheetId="1" r:id="rId1"/>
    <sheet name="PriceBook" sheetId="2" r:id="rId2"/>
    <sheet name="Tiers" sheetId="3" r:id="rId3"/>
    <sheet name="Summar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4" l="1"/>
  <c r="B6" i="4"/>
  <c r="C6" i="4"/>
  <c r="D6" i="4"/>
  <c r="E6" i="4"/>
  <c r="F6" i="4"/>
  <c r="G6" i="4"/>
  <c r="H6" i="4"/>
  <c r="I6" i="4"/>
  <c r="J6" i="4"/>
  <c r="K6" i="4"/>
  <c r="AQ2" i="3"/>
  <c r="AQ3" i="3"/>
  <c r="AQ4" i="3"/>
  <c r="AQ5" i="3"/>
  <c r="AQ6" i="3"/>
  <c r="AQ7" i="3"/>
  <c r="AQ8" i="3"/>
  <c r="AQ9" i="3"/>
  <c r="AQ11" i="3"/>
  <c r="AQ12" i="3"/>
  <c r="AQ13" i="3"/>
  <c r="AQ14" i="3"/>
  <c r="AQ15" i="3"/>
  <c r="AQ10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2" i="3"/>
  <c r="B15" i="4"/>
  <c r="A15" i="4"/>
  <c r="B14" i="4"/>
  <c r="A14" i="4"/>
  <c r="B13" i="4"/>
  <c r="A13" i="4"/>
  <c r="B12" i="4"/>
  <c r="A12" i="4"/>
  <c r="C11" i="4"/>
  <c r="B11" i="4"/>
  <c r="A11" i="4"/>
  <c r="B10" i="4"/>
  <c r="A10" i="4"/>
  <c r="B9" i="4"/>
  <c r="A9" i="4"/>
  <c r="B8" i="4"/>
  <c r="A8" i="4"/>
  <c r="B7" i="4"/>
  <c r="A7" i="4"/>
  <c r="C5" i="4"/>
  <c r="B5" i="4"/>
  <c r="A5" i="4"/>
  <c r="B4" i="4"/>
  <c r="A4" i="4"/>
  <c r="C3" i="4"/>
  <c r="B3" i="4"/>
  <c r="A3" i="4"/>
  <c r="B2" i="4"/>
  <c r="A2" i="4"/>
  <c r="AJ15" i="3"/>
  <c r="AG15" i="3"/>
  <c r="AB15" i="3"/>
  <c r="X15" i="3"/>
  <c r="U15" i="3"/>
  <c r="T15" i="3"/>
  <c r="V15" i="3" s="1"/>
  <c r="Q15" i="3"/>
  <c r="O15" i="3"/>
  <c r="P15" i="3" s="1"/>
  <c r="AM15" i="3" s="1"/>
  <c r="M15" i="3"/>
  <c r="N15" i="3" s="1"/>
  <c r="AL15" i="3" s="1"/>
  <c r="L15" i="3"/>
  <c r="H15" i="3"/>
  <c r="AJ14" i="3"/>
  <c r="AG14" i="3"/>
  <c r="AB14" i="3"/>
  <c r="X14" i="3"/>
  <c r="U14" i="3"/>
  <c r="O14" i="3"/>
  <c r="P14" i="3" s="1"/>
  <c r="AM14" i="3" s="1"/>
  <c r="M14" i="3"/>
  <c r="N14" i="3" s="1"/>
  <c r="AL14" i="3" s="1"/>
  <c r="L14" i="3"/>
  <c r="K14" i="3"/>
  <c r="H14" i="3"/>
  <c r="AJ13" i="3"/>
  <c r="AI13" i="3"/>
  <c r="AK13" i="3" s="1"/>
  <c r="AG13" i="3"/>
  <c r="AF13" i="3"/>
  <c r="AH13" i="3" s="1"/>
  <c r="AB13" i="3"/>
  <c r="X13" i="3"/>
  <c r="W13" i="3"/>
  <c r="Y13" i="3" s="1"/>
  <c r="V13" i="3"/>
  <c r="U13" i="3"/>
  <c r="T13" i="3"/>
  <c r="Q13" i="3"/>
  <c r="R13" i="3" s="1"/>
  <c r="O13" i="3"/>
  <c r="P13" i="3" s="1"/>
  <c r="AM13" i="3" s="1"/>
  <c r="M13" i="3"/>
  <c r="N13" i="3" s="1"/>
  <c r="AL13" i="3" s="1"/>
  <c r="L13" i="3"/>
  <c r="G13" i="4" s="1"/>
  <c r="H13" i="3"/>
  <c r="AJ12" i="3"/>
  <c r="AG12" i="3"/>
  <c r="AB12" i="3"/>
  <c r="X12" i="3"/>
  <c r="U12" i="3"/>
  <c r="T12" i="3"/>
  <c r="V12" i="3" s="1"/>
  <c r="S12" i="3"/>
  <c r="Q12" i="3"/>
  <c r="R12" i="3" s="1"/>
  <c r="O12" i="3"/>
  <c r="P12" i="3" s="1"/>
  <c r="AM12" i="3" s="1"/>
  <c r="M12" i="3"/>
  <c r="N12" i="3" s="1"/>
  <c r="AL12" i="3" s="1"/>
  <c r="L12" i="3"/>
  <c r="G12" i="4" s="1"/>
  <c r="H12" i="3"/>
  <c r="AJ11" i="3"/>
  <c r="AG11" i="3"/>
  <c r="AE11" i="3"/>
  <c r="AC11" i="3"/>
  <c r="AB11" i="3"/>
  <c r="X11" i="3"/>
  <c r="U11" i="3"/>
  <c r="O11" i="3"/>
  <c r="P11" i="3" s="1"/>
  <c r="AM11" i="3" s="1"/>
  <c r="M11" i="3"/>
  <c r="N11" i="3" s="1"/>
  <c r="AL11" i="3" s="1"/>
  <c r="L11" i="3"/>
  <c r="K11" i="3"/>
  <c r="F11" i="4" s="1"/>
  <c r="H11" i="3"/>
  <c r="E11" i="4" s="1"/>
  <c r="AJ10" i="3"/>
  <c r="AI10" i="3"/>
  <c r="AK10" i="3" s="1"/>
  <c r="AG10" i="3"/>
  <c r="AF10" i="3"/>
  <c r="AB10" i="3"/>
  <c r="X10" i="3"/>
  <c r="Y10" i="3" s="1"/>
  <c r="W10" i="3"/>
  <c r="U10" i="3"/>
  <c r="Q10" i="3"/>
  <c r="R10" i="3" s="1"/>
  <c r="O10" i="3"/>
  <c r="P10" i="3" s="1"/>
  <c r="AM10" i="3" s="1"/>
  <c r="M10" i="3"/>
  <c r="N10" i="3" s="1"/>
  <c r="AL10" i="3" s="1"/>
  <c r="L10" i="3"/>
  <c r="G10" i="4" s="1"/>
  <c r="H10" i="3"/>
  <c r="K10" i="3" s="1"/>
  <c r="AJ9" i="3"/>
  <c r="AG9" i="3"/>
  <c r="AB9" i="3"/>
  <c r="X9" i="3"/>
  <c r="U9" i="3"/>
  <c r="T9" i="3"/>
  <c r="V9" i="3" s="1"/>
  <c r="O9" i="3"/>
  <c r="P9" i="3" s="1"/>
  <c r="AM9" i="3" s="1"/>
  <c r="M9" i="3"/>
  <c r="N9" i="3" s="1"/>
  <c r="AL9" i="3" s="1"/>
  <c r="L9" i="3"/>
  <c r="AI9" i="3" s="1"/>
  <c r="AK9" i="3" s="1"/>
  <c r="K9" i="3"/>
  <c r="H9" i="3"/>
  <c r="AJ8" i="3"/>
  <c r="AG8" i="3"/>
  <c r="AF8" i="3"/>
  <c r="AH8" i="3" s="1"/>
  <c r="AE8" i="3"/>
  <c r="AB8" i="3"/>
  <c r="X8" i="3"/>
  <c r="W8" i="3"/>
  <c r="Y8" i="3" s="1"/>
  <c r="U8" i="3"/>
  <c r="O8" i="3"/>
  <c r="P8" i="3" s="1"/>
  <c r="AM8" i="3" s="1"/>
  <c r="M8" i="3"/>
  <c r="N8" i="3" s="1"/>
  <c r="AL8" i="3" s="1"/>
  <c r="L8" i="3"/>
  <c r="G8" i="4" s="1"/>
  <c r="K8" i="3"/>
  <c r="F8" i="4" s="1"/>
  <c r="H8" i="3"/>
  <c r="AJ7" i="3"/>
  <c r="AI7" i="3"/>
  <c r="AK7" i="3" s="1"/>
  <c r="AG7" i="3"/>
  <c r="AF7" i="3"/>
  <c r="AB7" i="3"/>
  <c r="Y7" i="3"/>
  <c r="X7" i="3"/>
  <c r="W7" i="3"/>
  <c r="U7" i="3"/>
  <c r="T7" i="3"/>
  <c r="V7" i="3" s="1"/>
  <c r="Q7" i="3"/>
  <c r="O7" i="3"/>
  <c r="P7" i="3" s="1"/>
  <c r="AM7" i="3" s="1"/>
  <c r="M7" i="3"/>
  <c r="N7" i="3" s="1"/>
  <c r="AL7" i="3" s="1"/>
  <c r="L7" i="3"/>
  <c r="G7" i="4" s="1"/>
  <c r="H7" i="3"/>
  <c r="AJ6" i="3"/>
  <c r="AG6" i="3"/>
  <c r="AE6" i="3"/>
  <c r="AB6" i="3"/>
  <c r="X6" i="3"/>
  <c r="U6" i="3"/>
  <c r="O6" i="3"/>
  <c r="P6" i="3" s="1"/>
  <c r="AM6" i="3" s="1"/>
  <c r="M6" i="3"/>
  <c r="N6" i="3" s="1"/>
  <c r="AL6" i="3" s="1"/>
  <c r="L6" i="3"/>
  <c r="K6" i="3"/>
  <c r="H6" i="3"/>
  <c r="AJ5" i="3"/>
  <c r="AI5" i="3"/>
  <c r="AK5" i="3" s="1"/>
  <c r="AG5" i="3"/>
  <c r="AF5" i="3"/>
  <c r="AB5" i="3"/>
  <c r="X5" i="3"/>
  <c r="W5" i="3"/>
  <c r="Y5" i="3" s="1"/>
  <c r="V5" i="3"/>
  <c r="U5" i="3"/>
  <c r="T5" i="3"/>
  <c r="Q5" i="3"/>
  <c r="R5" i="3" s="1"/>
  <c r="O5" i="3"/>
  <c r="P5" i="3" s="1"/>
  <c r="AM5" i="3" s="1"/>
  <c r="M5" i="3"/>
  <c r="N5" i="3" s="1"/>
  <c r="AL5" i="3" s="1"/>
  <c r="L5" i="3"/>
  <c r="G5" i="4" s="1"/>
  <c r="H5" i="3"/>
  <c r="AC5" i="3" s="1"/>
  <c r="AJ4" i="3"/>
  <c r="AK4" i="3" s="1"/>
  <c r="AI4" i="3"/>
  <c r="AG4" i="3"/>
  <c r="AB4" i="3"/>
  <c r="X4" i="3"/>
  <c r="U4" i="3"/>
  <c r="T4" i="3"/>
  <c r="V4" i="3" s="1"/>
  <c r="Q4" i="3"/>
  <c r="R4" i="3" s="1"/>
  <c r="S4" i="3" s="1"/>
  <c r="O4" i="3"/>
  <c r="P4" i="3" s="1"/>
  <c r="AM4" i="3" s="1"/>
  <c r="M4" i="3"/>
  <c r="N4" i="3" s="1"/>
  <c r="AL4" i="3" s="1"/>
  <c r="L4" i="3"/>
  <c r="G4" i="4" s="1"/>
  <c r="K4" i="3"/>
  <c r="H4" i="3"/>
  <c r="AJ3" i="3"/>
  <c r="AG3" i="3"/>
  <c r="AF3" i="3"/>
  <c r="AH3" i="3" s="1"/>
  <c r="AE3" i="3"/>
  <c r="AC3" i="3"/>
  <c r="AB3" i="3"/>
  <c r="X3" i="3"/>
  <c r="W3" i="3"/>
  <c r="Y3" i="3" s="1"/>
  <c r="U3" i="3"/>
  <c r="O3" i="3"/>
  <c r="P3" i="3" s="1"/>
  <c r="AM3" i="3" s="1"/>
  <c r="M3" i="3"/>
  <c r="N3" i="3" s="1"/>
  <c r="AL3" i="3" s="1"/>
  <c r="L3" i="3"/>
  <c r="K3" i="3"/>
  <c r="F3" i="4" s="1"/>
  <c r="H3" i="3"/>
  <c r="E3" i="4" s="1"/>
  <c r="AJ2" i="3"/>
  <c r="AI2" i="3"/>
  <c r="AG2" i="3"/>
  <c r="AF2" i="3"/>
  <c r="AH2" i="3" s="1"/>
  <c r="AB2" i="3"/>
  <c r="X2" i="3"/>
  <c r="W2" i="3"/>
  <c r="Y2" i="3" s="1"/>
  <c r="U2" i="3"/>
  <c r="Q2" i="3"/>
  <c r="O2" i="3"/>
  <c r="P2" i="3" s="1"/>
  <c r="AM2" i="3" s="1"/>
  <c r="M2" i="3"/>
  <c r="N2" i="3" s="1"/>
  <c r="AL2" i="3" s="1"/>
  <c r="L2" i="3"/>
  <c r="G2" i="4" s="1"/>
  <c r="H2" i="3"/>
  <c r="F4" i="4" l="1"/>
  <c r="AE4" i="3"/>
  <c r="Q6" i="3"/>
  <c r="AI6" i="3"/>
  <c r="AK6" i="3" s="1"/>
  <c r="AF6" i="3"/>
  <c r="AH6" i="3" s="1"/>
  <c r="W6" i="3"/>
  <c r="Y6" i="3" s="1"/>
  <c r="C12" i="4"/>
  <c r="K12" i="3"/>
  <c r="AP12" i="3" s="1"/>
  <c r="I12" i="4" s="1"/>
  <c r="D12" i="4"/>
  <c r="Z12" i="3"/>
  <c r="C2" i="4"/>
  <c r="K2" i="3"/>
  <c r="AE10" i="3"/>
  <c r="F10" i="4"/>
  <c r="AA12" i="3"/>
  <c r="AK2" i="3"/>
  <c r="C7" i="4"/>
  <c r="K7" i="3"/>
  <c r="D9" i="4"/>
  <c r="AP9" i="3"/>
  <c r="I9" i="4" s="1"/>
  <c r="Z9" i="3"/>
  <c r="AA9" i="3" s="1"/>
  <c r="G11" i="4"/>
  <c r="Q11" i="3"/>
  <c r="AF11" i="3"/>
  <c r="AH11" i="3" s="1"/>
  <c r="W11" i="3"/>
  <c r="Y11" i="3" s="1"/>
  <c r="AI11" i="3"/>
  <c r="AK11" i="3" s="1"/>
  <c r="T11" i="3"/>
  <c r="V11" i="3" s="1"/>
  <c r="C15" i="4"/>
  <c r="K15" i="3"/>
  <c r="R2" i="3"/>
  <c r="S2" i="3"/>
  <c r="G3" i="4"/>
  <c r="Q3" i="3"/>
  <c r="AI3" i="3"/>
  <c r="AK3" i="3" s="1"/>
  <c r="T3" i="3"/>
  <c r="V3" i="3" s="1"/>
  <c r="T6" i="3"/>
  <c r="V6" i="3" s="1"/>
  <c r="C4" i="4"/>
  <c r="AH5" i="3"/>
  <c r="F14" i="4"/>
  <c r="AE14" i="3"/>
  <c r="F9" i="4"/>
  <c r="AE9" i="3"/>
  <c r="G14" i="4"/>
  <c r="Q14" i="3"/>
  <c r="AI14" i="3"/>
  <c r="AK14" i="3" s="1"/>
  <c r="AF14" i="3"/>
  <c r="AH14" i="3" s="1"/>
  <c r="W14" i="3"/>
  <c r="Y14" i="3" s="1"/>
  <c r="R7" i="3"/>
  <c r="S7" i="3" s="1"/>
  <c r="T14" i="3"/>
  <c r="V14" i="3" s="1"/>
  <c r="R15" i="3"/>
  <c r="S15" i="3"/>
  <c r="AP6" i="3"/>
  <c r="Z6" i="3"/>
  <c r="AA6" i="3" s="1"/>
  <c r="C9" i="4"/>
  <c r="Q9" i="3"/>
  <c r="AH10" i="3"/>
  <c r="AI12" i="3"/>
  <c r="AK12" i="3" s="1"/>
  <c r="D14" i="4"/>
  <c r="AP14" i="3"/>
  <c r="I14" i="4" s="1"/>
  <c r="Z14" i="3"/>
  <c r="AA14" i="3" s="1"/>
  <c r="D8" i="4"/>
  <c r="S10" i="3"/>
  <c r="C13" i="4"/>
  <c r="E5" i="4"/>
  <c r="G9" i="4"/>
  <c r="T2" i="3"/>
  <c r="V2" i="3" s="1"/>
  <c r="S5" i="3"/>
  <c r="C8" i="4"/>
  <c r="AP8" i="3"/>
  <c r="I8" i="4" s="1"/>
  <c r="Q8" i="3"/>
  <c r="W9" i="3"/>
  <c r="Y9" i="3" s="1"/>
  <c r="AF9" i="3"/>
  <c r="AH9" i="3" s="1"/>
  <c r="T10" i="3"/>
  <c r="V10" i="3" s="1"/>
  <c r="S13" i="3"/>
  <c r="W15" i="3"/>
  <c r="Y15" i="3" s="1"/>
  <c r="G15" i="4"/>
  <c r="AF15" i="3"/>
  <c r="AH15" i="3" s="1"/>
  <c r="C10" i="4"/>
  <c r="W4" i="3"/>
  <c r="Y4" i="3" s="1"/>
  <c r="AF4" i="3"/>
  <c r="AH4" i="3" s="1"/>
  <c r="K5" i="3"/>
  <c r="Z8" i="3"/>
  <c r="AA8" i="3" s="1"/>
  <c r="W12" i="3"/>
  <c r="Y12" i="3" s="1"/>
  <c r="AF12" i="3"/>
  <c r="AH12" i="3" s="1"/>
  <c r="K13" i="3"/>
  <c r="AI8" i="3"/>
  <c r="AK8" i="3" s="1"/>
  <c r="AH7" i="3"/>
  <c r="T8" i="3"/>
  <c r="V8" i="3" s="1"/>
  <c r="D11" i="4"/>
  <c r="AP11" i="3"/>
  <c r="I11" i="4" s="1"/>
  <c r="Z11" i="3"/>
  <c r="AA11" i="3" s="1"/>
  <c r="C14" i="4"/>
  <c r="AI15" i="3"/>
  <c r="AK15" i="3" s="1"/>
  <c r="D3" i="4" l="1"/>
  <c r="AP3" i="3"/>
  <c r="I3" i="4" s="1"/>
  <c r="Z3" i="3"/>
  <c r="AA3" i="3"/>
  <c r="D13" i="4"/>
  <c r="AP13" i="3"/>
  <c r="I13" i="4" s="1"/>
  <c r="Z13" i="3"/>
  <c r="AA13" i="3" s="1"/>
  <c r="AN13" i="3" s="1"/>
  <c r="D5" i="4"/>
  <c r="AP5" i="3"/>
  <c r="I5" i="4" s="1"/>
  <c r="Z5" i="3"/>
  <c r="AA5" i="3" s="1"/>
  <c r="E15" i="4"/>
  <c r="AC15" i="3"/>
  <c r="AP2" i="3"/>
  <c r="I2" i="4" s="1"/>
  <c r="Z2" i="3"/>
  <c r="AA2" i="3" s="1"/>
  <c r="D2" i="4"/>
  <c r="F13" i="4"/>
  <c r="AE13" i="3"/>
  <c r="E10" i="4"/>
  <c r="AC10" i="3"/>
  <c r="R3" i="3"/>
  <c r="S3" i="3" s="1"/>
  <c r="AN3" i="3" s="1"/>
  <c r="AC13" i="3"/>
  <c r="E13" i="4"/>
  <c r="R6" i="3"/>
  <c r="S6" i="3"/>
  <c r="AN6" i="3" s="1"/>
  <c r="R8" i="3"/>
  <c r="S8" i="3" s="1"/>
  <c r="D7" i="4"/>
  <c r="AP7" i="3"/>
  <c r="I7" i="4" s="1"/>
  <c r="Z7" i="3"/>
  <c r="AA7" i="3"/>
  <c r="AN7" i="3" s="1"/>
  <c r="E4" i="4"/>
  <c r="AC4" i="3"/>
  <c r="F7" i="4"/>
  <c r="AE7" i="3"/>
  <c r="E2" i="4"/>
  <c r="AC2" i="3"/>
  <c r="E12" i="4"/>
  <c r="AC12" i="3"/>
  <c r="F12" i="4"/>
  <c r="AE12" i="3"/>
  <c r="E14" i="4"/>
  <c r="AC14" i="3"/>
  <c r="R9" i="3"/>
  <c r="S9" i="3"/>
  <c r="R14" i="3"/>
  <c r="S14" i="3" s="1"/>
  <c r="AN14" i="3" s="1"/>
  <c r="D15" i="4"/>
  <c r="AP15" i="3"/>
  <c r="I15" i="4" s="1"/>
  <c r="Z15" i="3"/>
  <c r="AA15" i="3" s="1"/>
  <c r="AN15" i="3" s="1"/>
  <c r="R11" i="3"/>
  <c r="S11" i="3"/>
  <c r="AN11" i="3" s="1"/>
  <c r="AC7" i="3"/>
  <c r="E7" i="4"/>
  <c r="F2" i="4"/>
  <c r="AE2" i="3"/>
  <c r="D4" i="4"/>
  <c r="AP4" i="3"/>
  <c r="I4" i="4" s="1"/>
  <c r="Z4" i="3"/>
  <c r="AA4" i="3" s="1"/>
  <c r="AN4" i="3" s="1"/>
  <c r="E8" i="4"/>
  <c r="AC8" i="3"/>
  <c r="AC6" i="3"/>
  <c r="F5" i="4"/>
  <c r="AE5" i="3"/>
  <c r="AP10" i="3"/>
  <c r="I10" i="4" s="1"/>
  <c r="Z10" i="3"/>
  <c r="AA10" i="3"/>
  <c r="AN10" i="3" s="1"/>
  <c r="D10" i="4"/>
  <c r="E9" i="4"/>
  <c r="AC9" i="3"/>
  <c r="AE15" i="3"/>
  <c r="F15" i="4"/>
  <c r="AN9" i="3" l="1"/>
  <c r="AN8" i="3"/>
  <c r="AN2" i="3"/>
  <c r="AN12" i="3"/>
  <c r="AN5" i="3"/>
  <c r="H5" i="4" s="1"/>
  <c r="AO12" i="3"/>
  <c r="AR12" i="3" s="1"/>
  <c r="AS12" i="3" s="1"/>
  <c r="H12" i="4"/>
  <c r="H3" i="4"/>
  <c r="AO3" i="3"/>
  <c r="AR3" i="3" s="1"/>
  <c r="AS3" i="3" s="1"/>
  <c r="H13" i="4"/>
  <c r="AO13" i="3"/>
  <c r="AR13" i="3" s="1"/>
  <c r="AS13" i="3" s="1"/>
  <c r="H10" i="4"/>
  <c r="AO10" i="3"/>
  <c r="AR10" i="3" s="1"/>
  <c r="AS10" i="3" s="1"/>
  <c r="AO4" i="3"/>
  <c r="H4" i="4"/>
  <c r="AR4" i="3"/>
  <c r="AS4" i="3" s="1"/>
  <c r="H7" i="4"/>
  <c r="AO7" i="3"/>
  <c r="AR7" i="3" s="1"/>
  <c r="AS7" i="3" s="1"/>
  <c r="H14" i="4"/>
  <c r="AO14" i="3"/>
  <c r="AR14" i="3" s="1"/>
  <c r="AS14" i="3" s="1"/>
  <c r="H8" i="4"/>
  <c r="AO8" i="3"/>
  <c r="AR8" i="3" s="1"/>
  <c r="AS8" i="3" s="1"/>
  <c r="AO15" i="3"/>
  <c r="AR15" i="3" s="1"/>
  <c r="AS15" i="3" s="1"/>
  <c r="H15" i="4"/>
  <c r="H2" i="4"/>
  <c r="AO2" i="3"/>
  <c r="AR2" i="3" s="1"/>
  <c r="AS2" i="3" s="1"/>
  <c r="H9" i="4"/>
  <c r="AO9" i="3"/>
  <c r="AR9" i="3" s="1"/>
  <c r="AS9" i="3" s="1"/>
  <c r="H11" i="4"/>
  <c r="AO11" i="3"/>
  <c r="AR11" i="3" s="1"/>
  <c r="AS11" i="3" s="1"/>
  <c r="AO6" i="3"/>
  <c r="AR6" i="3" s="1"/>
  <c r="AS6" i="3" s="1"/>
  <c r="AO5" i="3" l="1"/>
  <c r="AR5" i="3" s="1"/>
  <c r="AS5" i="3" s="1"/>
  <c r="AT5" i="3"/>
  <c r="AT8" i="3"/>
  <c r="AT9" i="3"/>
  <c r="AT15" i="3"/>
  <c r="AT3" i="3"/>
  <c r="AT14" i="3"/>
  <c r="AT2" i="3"/>
  <c r="AT7" i="3"/>
  <c r="AT6" i="3"/>
  <c r="AT11" i="3"/>
  <c r="AT4" i="3"/>
  <c r="AT10" i="3"/>
  <c r="AT12" i="3"/>
  <c r="AT13" i="3"/>
  <c r="J13" i="4" l="1"/>
  <c r="AU13" i="3"/>
  <c r="K13" i="4" s="1"/>
  <c r="J12" i="4"/>
  <c r="AU12" i="3"/>
  <c r="K12" i="4" s="1"/>
  <c r="J10" i="4"/>
  <c r="AU10" i="3"/>
  <c r="K10" i="4" s="1"/>
  <c r="J9" i="4"/>
  <c r="AU9" i="3"/>
  <c r="K9" i="4" s="1"/>
  <c r="J7" i="4"/>
  <c r="AU7" i="3"/>
  <c r="K7" i="4" s="1"/>
  <c r="J2" i="4"/>
  <c r="AU2" i="3"/>
  <c r="K2" i="4" s="1"/>
  <c r="J14" i="4"/>
  <c r="AU14" i="3"/>
  <c r="K14" i="4" s="1"/>
  <c r="J3" i="4"/>
  <c r="AU3" i="3"/>
  <c r="K3" i="4" s="1"/>
  <c r="J15" i="4"/>
  <c r="AU15" i="3"/>
  <c r="K15" i="4" s="1"/>
  <c r="J11" i="4"/>
  <c r="AU11" i="3"/>
  <c r="K11" i="4" s="1"/>
  <c r="AU8" i="3"/>
  <c r="K8" i="4" s="1"/>
  <c r="J8" i="4"/>
  <c r="AU6" i="3"/>
  <c r="J5" i="4"/>
  <c r="AU5" i="3"/>
  <c r="K5" i="4" s="1"/>
  <c r="J4" i="4"/>
  <c r="AU4" i="3"/>
  <c r="K4" i="4" s="1"/>
</calcChain>
</file>

<file path=xl/sharedStrings.xml><?xml version="1.0" encoding="utf-8"?>
<sst xmlns="http://schemas.openxmlformats.org/spreadsheetml/2006/main" count="137" uniqueCount="109">
  <si>
    <t>Name</t>
  </si>
  <si>
    <t>Value</t>
  </si>
  <si>
    <t>Notes</t>
  </si>
  <si>
    <t>VAT_rate</t>
  </si>
  <si>
    <t>Standard VAT rate (IE)</t>
  </si>
  <si>
    <t>Passives_overhead</t>
  </si>
  <si>
    <t>Passives, connectors, headers as a % of active IC €</t>
  </si>
  <si>
    <t>PCBA_setup_eur</t>
  </si>
  <si>
    <t>Assembly setup (converted to EUR)</t>
  </si>
  <si>
    <t>PCBA_stencil_eur</t>
  </si>
  <si>
    <t>Stencil (converted to EUR)</t>
  </si>
  <si>
    <t>Digipot_channels_per_chip</t>
  </si>
  <si>
    <t>TPL0102 dual channels per chip</t>
  </si>
  <si>
    <t>TMUX_per_channels</t>
  </si>
  <si>
    <t>One TMUX1108 per 8 channels</t>
  </si>
  <si>
    <t>ADG2128_per_channels</t>
  </si>
  <si>
    <t>One ADG2128 crosspoint per 96 channels</t>
  </si>
  <si>
    <t>Part</t>
  </si>
  <si>
    <t>Price_1</t>
  </si>
  <si>
    <t>Price_10</t>
  </si>
  <si>
    <t>Price_100</t>
  </si>
  <si>
    <t>Pins</t>
  </si>
  <si>
    <t>TPL0102</t>
  </si>
  <si>
    <t>Dual 256-tap digipot</t>
  </si>
  <si>
    <t>AD5160</t>
  </si>
  <si>
    <t>Single 256-tap digipot, alt on small rails</t>
  </si>
  <si>
    <t>TMUX1108</t>
  </si>
  <si>
    <t>8:1 precision mux</t>
  </si>
  <si>
    <t>ADG2128</t>
  </si>
  <si>
    <t>8×12 crosspoint</t>
  </si>
  <si>
    <t>OPA140</t>
  </si>
  <si>
    <t>JFET op-amp per neuron</t>
  </si>
  <si>
    <t>MCP6561</t>
  </si>
  <si>
    <t>Low-power comparator per neuron</t>
  </si>
  <si>
    <t>TLV3501</t>
  </si>
  <si>
    <t>Fast comparator, shared</t>
  </si>
  <si>
    <t>ADS1115</t>
  </si>
  <si>
    <t>Low-cost ADC for small tiers</t>
  </si>
  <si>
    <t>ADS1263</t>
  </si>
  <si>
    <t>Precision ADC for mid+ tiers</t>
  </si>
  <si>
    <t>ADR4550</t>
  </si>
  <si>
    <t>5 V reference</t>
  </si>
  <si>
    <t>LT3042</t>
  </si>
  <si>
    <t>Low-noise LDO</t>
  </si>
  <si>
    <t>PICO2</t>
  </si>
  <si>
    <t>Dev board, buy-in</t>
  </si>
  <si>
    <t>NUCLEO_U575</t>
  </si>
  <si>
    <t>Tier</t>
  </si>
  <si>
    <t>Temporal?</t>
  </si>
  <si>
    <t>Rank</t>
  </si>
  <si>
    <t>ImgH</t>
  </si>
  <si>
    <t>ImgW</t>
  </si>
  <si>
    <t>Outputs</t>
  </si>
  <si>
    <t>Hidden</t>
  </si>
  <si>
    <t>Synapses</t>
  </si>
  <si>
    <t>Digipot chips</t>
  </si>
  <si>
    <t>Neurons</t>
  </si>
  <si>
    <t>ADC choice</t>
  </si>
  <si>
    <t>ADC unit €</t>
  </si>
  <si>
    <t>MCU choice</t>
  </si>
  <si>
    <t>MCU unit €</t>
  </si>
  <si>
    <t>OPA140 qty</t>
  </si>
  <si>
    <t>OPA140 unit €</t>
  </si>
  <si>
    <t>OPA140 €</t>
  </si>
  <si>
    <t>MCP6561 qty</t>
  </si>
  <si>
    <t>MCP6561 unit €</t>
  </si>
  <si>
    <t>MCP6561 €</t>
  </si>
  <si>
    <t>TLV3501 qty</t>
  </si>
  <si>
    <t>TLV3501 unit €</t>
  </si>
  <si>
    <t>TLV3501 €</t>
  </si>
  <si>
    <t>Digipot unit €</t>
  </si>
  <si>
    <t>Digipot €</t>
  </si>
  <si>
    <t>TMUX unit €</t>
  </si>
  <si>
    <t>TMUX €</t>
  </si>
  <si>
    <t>ADG2128 €</t>
  </si>
  <si>
    <t>ADR4550 qty</t>
  </si>
  <si>
    <t>ADR4550 unit €</t>
  </si>
  <si>
    <t>ADR4550 €</t>
  </si>
  <si>
    <t>LT3042 qty</t>
  </si>
  <si>
    <t>LT3042 unit €</t>
  </si>
  <si>
    <t>LT3042 €</t>
  </si>
  <si>
    <t>ADC €</t>
  </si>
  <si>
    <t>MCU €</t>
  </si>
  <si>
    <t>Active parts € ex VAT</t>
  </si>
  <si>
    <t>Passives € ex VAT</t>
  </si>
  <si>
    <t>Pins/joints est</t>
  </si>
  <si>
    <t>PCBA € ex VAT</t>
  </si>
  <si>
    <t>Total € ex VAT</t>
  </si>
  <si>
    <t>VAT €</t>
  </si>
  <si>
    <t>Total € inc VAT</t>
  </si>
  <si>
    <t>Funding bucket €</t>
  </si>
  <si>
    <t>No</t>
  </si>
  <si>
    <t>Yes</t>
  </si>
  <si>
    <t>Digipots</t>
  </si>
  <si>
    <t>Routing, TMUX</t>
  </si>
  <si>
    <t>Routing, ADG2128</t>
  </si>
  <si>
    <t>Active € ex VAT</t>
  </si>
  <si>
    <t>PCBA_Assembly_eur</t>
  </si>
  <si>
    <t>Assembly_per_component_eur</t>
  </si>
  <si>
    <t>POC</t>
  </si>
  <si>
    <t>3x3→3</t>
  </si>
  <si>
    <t>5x5→5</t>
  </si>
  <si>
    <t>7x7→5</t>
  </si>
  <si>
    <t>7x7→10</t>
  </si>
  <si>
    <t xml:space="preserve"> 7x7→16→10</t>
  </si>
  <si>
    <t>7x7→16→10</t>
  </si>
  <si>
    <t>7x7→32→10</t>
  </si>
  <si>
    <t>MUX</t>
  </si>
  <si>
    <t>MUX unit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</si>
</sst>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2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 style="thin">
        <color rgb="FFDDDDDD"/>
      </right>
      <top/>
      <bottom/>
      <diagonal/>
    </border>
  </borders>
  <cellStyleXfs count="6">
    <xf numFmtId="0" fontId="0" fillId="0" borderId="0"/>
    <xf numFmtId="0" fontId="1" fillId="0" borderId="1">
      <alignment horizontal="center"/>
    </xf>
    <xf numFmtId="164" fontId="2" fillId="0" borderId="1"/>
    <xf numFmtId="10" fontId="2" fillId="0" borderId="1"/>
    <xf numFmtId="0" fontId="2" fillId="0" borderId="1"/>
    <xf numFmtId="0" fontId="3" fillId="2" borderId="0" applyNumberFormat="0" applyBorder="0" applyAlignment="0" applyProtection="0"/>
  </cellStyleXfs>
  <cellXfs count="10">
    <xf numFmtId="0" fontId="0" fillId="0" borderId="0" xfId="0"/>
    <xf numFmtId="0" fontId="1" fillId="0" borderId="1" xfId="1">
      <alignment horizontal="center"/>
    </xf>
    <xf numFmtId="0" fontId="2" fillId="0" borderId="1" xfId="4"/>
    <xf numFmtId="10" fontId="2" fillId="0" borderId="1" xfId="3"/>
    <xf numFmtId="164" fontId="2" fillId="0" borderId="1" xfId="2"/>
    <xf numFmtId="0" fontId="2" fillId="0" borderId="1" xfId="3" applyNumberFormat="1"/>
    <xf numFmtId="0" fontId="2" fillId="0" borderId="2" xfId="4" applyBorder="1"/>
    <xf numFmtId="0" fontId="3" fillId="2" borderId="1" xfId="5" applyBorder="1"/>
    <xf numFmtId="164" fontId="3" fillId="2" borderId="1" xfId="5" applyNumberFormat="1" applyBorder="1"/>
    <xf numFmtId="0" fontId="3" fillId="2" borderId="0" xfId="5"/>
  </cellXfs>
  <cellStyles count="6">
    <cellStyle name="currency" xfId="2" xr:uid="{00000000-0005-0000-0000-000002000000}"/>
    <cellStyle name="Good" xfId="5" builtinId="26"/>
    <cellStyle name="header" xfId="1" xr:uid="{00000000-0005-0000-0000-000001000000}"/>
    <cellStyle name="Normal" xfId="0" builtinId="0"/>
    <cellStyle name="normal 2" xfId="4" xr:uid="{00000000-0005-0000-0000-000004000000}"/>
    <cellStyle name="percent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2.6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3">
        <v>0.23</v>
      </c>
      <c r="C2" s="2" t="s">
        <v>4</v>
      </c>
    </row>
    <row r="3" spans="1:3" x14ac:dyDescent="0.2">
      <c r="A3" s="2" t="s">
        <v>5</v>
      </c>
      <c r="B3" s="3">
        <v>0.05</v>
      </c>
      <c r="C3" s="2" t="s">
        <v>6</v>
      </c>
    </row>
    <row r="4" spans="1:3" x14ac:dyDescent="0.2">
      <c r="A4" s="2" t="s">
        <v>7</v>
      </c>
      <c r="B4" s="2">
        <v>6.85</v>
      </c>
      <c r="C4" s="2" t="s">
        <v>8</v>
      </c>
    </row>
    <row r="5" spans="1:3" x14ac:dyDescent="0.2">
      <c r="A5" s="2" t="s">
        <v>9</v>
      </c>
      <c r="B5" s="2">
        <v>20</v>
      </c>
      <c r="C5" s="2" t="s">
        <v>10</v>
      </c>
    </row>
    <row r="6" spans="1:3" x14ac:dyDescent="0.2">
      <c r="A6" s="2" t="s">
        <v>97</v>
      </c>
      <c r="B6" s="5">
        <v>30</v>
      </c>
      <c r="C6" s="2"/>
    </row>
    <row r="7" spans="1:3" x14ac:dyDescent="0.2">
      <c r="A7" s="2" t="s">
        <v>11</v>
      </c>
      <c r="B7" s="2">
        <v>2</v>
      </c>
      <c r="C7" s="2" t="s">
        <v>12</v>
      </c>
    </row>
    <row r="8" spans="1:3" x14ac:dyDescent="0.2">
      <c r="A8" s="2" t="s">
        <v>13</v>
      </c>
      <c r="B8" s="2">
        <v>8</v>
      </c>
      <c r="C8" s="2" t="s">
        <v>14</v>
      </c>
    </row>
    <row r="9" spans="1:3" x14ac:dyDescent="0.2">
      <c r="A9" s="2" t="s">
        <v>15</v>
      </c>
      <c r="B9" s="2">
        <v>96</v>
      </c>
      <c r="C9" s="2" t="s">
        <v>16</v>
      </c>
    </row>
    <row r="10" spans="1:3" x14ac:dyDescent="0.2">
      <c r="A10" s="6" t="s">
        <v>98</v>
      </c>
      <c r="B10" s="6">
        <v>5.0000000000000001E-3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</v>
      </c>
    </row>
    <row r="2" spans="1:6" x14ac:dyDescent="0.2">
      <c r="A2" s="2" t="s">
        <v>22</v>
      </c>
      <c r="B2" s="4">
        <v>2.52</v>
      </c>
      <c r="C2" s="4">
        <v>1.87</v>
      </c>
      <c r="D2" s="4">
        <v>1.54</v>
      </c>
      <c r="E2" s="2">
        <v>14</v>
      </c>
      <c r="F2" s="2" t="s">
        <v>23</v>
      </c>
    </row>
    <row r="3" spans="1:6" x14ac:dyDescent="0.2">
      <c r="A3" s="2" t="s">
        <v>24</v>
      </c>
      <c r="B3" s="4">
        <v>2.5499999999999998</v>
      </c>
      <c r="C3" s="4">
        <v>2.1</v>
      </c>
      <c r="D3" s="4">
        <v>1.82</v>
      </c>
      <c r="E3" s="2">
        <v>8</v>
      </c>
      <c r="F3" s="2" t="s">
        <v>25</v>
      </c>
    </row>
    <row r="4" spans="1:6" x14ac:dyDescent="0.2">
      <c r="A4" s="2" t="s">
        <v>26</v>
      </c>
      <c r="B4" s="4">
        <v>2.86</v>
      </c>
      <c r="C4" s="4">
        <v>2.4500000000000002</v>
      </c>
      <c r="D4" s="4">
        <v>2.1</v>
      </c>
      <c r="E4" s="2">
        <v>16</v>
      </c>
      <c r="F4" s="2" t="s">
        <v>27</v>
      </c>
    </row>
    <row r="5" spans="1:6" x14ac:dyDescent="0.2">
      <c r="A5" s="2" t="s">
        <v>28</v>
      </c>
      <c r="B5" s="4">
        <v>13.87</v>
      </c>
      <c r="C5" s="4">
        <v>9.1999999999999993</v>
      </c>
      <c r="D5" s="4">
        <v>7.74</v>
      </c>
      <c r="E5" s="2">
        <v>32</v>
      </c>
      <c r="F5" s="2" t="s">
        <v>29</v>
      </c>
    </row>
    <row r="6" spans="1:6" x14ac:dyDescent="0.2">
      <c r="A6" s="2" t="s">
        <v>30</v>
      </c>
      <c r="B6" s="4">
        <v>3.69</v>
      </c>
      <c r="C6" s="4">
        <v>2.8</v>
      </c>
      <c r="D6" s="4">
        <v>2.5</v>
      </c>
      <c r="E6" s="2">
        <v>8</v>
      </c>
      <c r="F6" s="2" t="s">
        <v>31</v>
      </c>
    </row>
    <row r="7" spans="1:6" x14ac:dyDescent="0.2">
      <c r="A7" s="2" t="s">
        <v>32</v>
      </c>
      <c r="B7" s="4">
        <v>0.47299999999999998</v>
      </c>
      <c r="C7" s="4">
        <v>0.42</v>
      </c>
      <c r="D7" s="4">
        <v>0.39</v>
      </c>
      <c r="E7" s="2">
        <v>5</v>
      </c>
      <c r="F7" s="2" t="s">
        <v>33</v>
      </c>
    </row>
    <row r="8" spans="1:6" x14ac:dyDescent="0.2">
      <c r="A8" s="2" t="s">
        <v>34</v>
      </c>
      <c r="B8" s="4">
        <v>3.51</v>
      </c>
      <c r="C8" s="4">
        <v>2.9</v>
      </c>
      <c r="D8" s="4">
        <v>2.6</v>
      </c>
      <c r="E8" s="2">
        <v>6</v>
      </c>
      <c r="F8" s="2" t="s">
        <v>35</v>
      </c>
    </row>
    <row r="9" spans="1:6" x14ac:dyDescent="0.2">
      <c r="A9" s="2" t="s">
        <v>36</v>
      </c>
      <c r="B9" s="4">
        <v>5.41</v>
      </c>
      <c r="C9" s="4">
        <v>5.0999999999999996</v>
      </c>
      <c r="D9" s="4">
        <v>4.8</v>
      </c>
      <c r="E9" s="2">
        <v>10</v>
      </c>
      <c r="F9" s="2" t="s">
        <v>37</v>
      </c>
    </row>
    <row r="10" spans="1:6" x14ac:dyDescent="0.2">
      <c r="A10" s="2" t="s">
        <v>38</v>
      </c>
      <c r="B10" s="4">
        <v>19.82</v>
      </c>
      <c r="C10" s="4">
        <v>18.5</v>
      </c>
      <c r="D10" s="4">
        <v>17</v>
      </c>
      <c r="E10" s="2">
        <v>28</v>
      </c>
      <c r="F10" s="2" t="s">
        <v>39</v>
      </c>
    </row>
    <row r="11" spans="1:6" x14ac:dyDescent="0.2">
      <c r="A11" s="2" t="s">
        <v>40</v>
      </c>
      <c r="B11" s="4">
        <v>7.49</v>
      </c>
      <c r="C11" s="4">
        <v>6.8</v>
      </c>
      <c r="D11" s="4">
        <v>6.3</v>
      </c>
      <c r="E11" s="2">
        <v>8</v>
      </c>
      <c r="F11" s="2" t="s">
        <v>41</v>
      </c>
    </row>
    <row r="12" spans="1:6" x14ac:dyDescent="0.2">
      <c r="A12" s="2" t="s">
        <v>42</v>
      </c>
      <c r="B12" s="4">
        <v>7.82</v>
      </c>
      <c r="C12" s="4">
        <v>7.2</v>
      </c>
      <c r="D12" s="4">
        <v>6.7</v>
      </c>
      <c r="E12" s="2">
        <v>10</v>
      </c>
      <c r="F12" s="2" t="s">
        <v>43</v>
      </c>
    </row>
    <row r="13" spans="1:6" x14ac:dyDescent="0.2">
      <c r="A13" s="2" t="s">
        <v>44</v>
      </c>
      <c r="B13" s="4">
        <v>4.33</v>
      </c>
      <c r="C13" s="4">
        <v>4.0999999999999996</v>
      </c>
      <c r="D13" s="4">
        <v>3.9</v>
      </c>
      <c r="E13" s="2">
        <v>0</v>
      </c>
      <c r="F13" s="2" t="s">
        <v>45</v>
      </c>
    </row>
    <row r="14" spans="1:6" x14ac:dyDescent="0.2">
      <c r="A14" s="2" t="s">
        <v>46</v>
      </c>
      <c r="B14" s="4">
        <v>20.7</v>
      </c>
      <c r="C14" s="4">
        <v>19.5</v>
      </c>
      <c r="D14" s="4">
        <v>18</v>
      </c>
      <c r="E14" s="2">
        <v>0</v>
      </c>
      <c r="F14" s="2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15"/>
  <sheetViews>
    <sheetView workbookViewId="0">
      <selection activeCell="L9" sqref="L9"/>
    </sheetView>
  </sheetViews>
  <sheetFormatPr baseColWidth="10" defaultColWidth="8.83203125" defaultRowHeight="15" x14ac:dyDescent="0.2"/>
  <cols>
    <col min="1" max="47" width="15" customWidth="1"/>
  </cols>
  <sheetData>
    <row r="1" spans="1:47" x14ac:dyDescent="0.2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26</v>
      </c>
      <c r="K1" s="1" t="s">
        <v>107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  <c r="V1" s="1" t="s">
        <v>66</v>
      </c>
      <c r="W1" s="1" t="s">
        <v>67</v>
      </c>
      <c r="X1" s="1" t="s">
        <v>68</v>
      </c>
      <c r="Y1" s="1" t="s">
        <v>69</v>
      </c>
      <c r="Z1" s="1" t="s">
        <v>70</v>
      </c>
      <c r="AA1" s="1" t="s">
        <v>71</v>
      </c>
      <c r="AB1" s="1" t="s">
        <v>72</v>
      </c>
      <c r="AC1" s="1" t="s">
        <v>73</v>
      </c>
      <c r="AD1" s="1" t="s">
        <v>108</v>
      </c>
      <c r="AE1" s="1" t="s">
        <v>74</v>
      </c>
      <c r="AF1" s="1" t="s">
        <v>75</v>
      </c>
      <c r="AG1" s="1" t="s">
        <v>76</v>
      </c>
      <c r="AH1" s="1" t="s">
        <v>77</v>
      </c>
      <c r="AI1" s="1" t="s">
        <v>78</v>
      </c>
      <c r="AJ1" s="1" t="s">
        <v>79</v>
      </c>
      <c r="AK1" s="1" t="s">
        <v>80</v>
      </c>
      <c r="AL1" s="1" t="s">
        <v>81</v>
      </c>
      <c r="AM1" s="1" t="s">
        <v>82</v>
      </c>
      <c r="AN1" s="1" t="s">
        <v>83</v>
      </c>
      <c r="AO1" s="1" t="s">
        <v>84</v>
      </c>
      <c r="AP1" s="1" t="s">
        <v>85</v>
      </c>
      <c r="AQ1" s="1" t="s">
        <v>86</v>
      </c>
      <c r="AR1" s="1" t="s">
        <v>87</v>
      </c>
      <c r="AS1" s="1" t="s">
        <v>88</v>
      </c>
      <c r="AT1" s="1" t="s">
        <v>89</v>
      </c>
      <c r="AU1" s="1" t="s">
        <v>90</v>
      </c>
    </row>
    <row r="2" spans="1:47" x14ac:dyDescent="0.2">
      <c r="A2" t="s">
        <v>99</v>
      </c>
      <c r="B2" t="s">
        <v>91</v>
      </c>
      <c r="C2">
        <v>1</v>
      </c>
      <c r="D2">
        <v>1</v>
      </c>
      <c r="E2">
        <v>1</v>
      </c>
      <c r="F2">
        <v>1</v>
      </c>
      <c r="G2">
        <v>0</v>
      </c>
      <c r="H2">
        <f t="shared" ref="H2:H15" si="0">IF(B2="Yes", C2*(D2+E2)*IF(G2&gt;0, G2, F2) + IF(G2&gt;0, G2*F2, 0), D2*E2*IF(G2&gt;0, G2, F2) + IF(G2&gt;0, G2*F2, 0))</f>
        <v>1</v>
      </c>
      <c r="I2">
        <f>H2</f>
        <v>1</v>
      </c>
      <c r="J2">
        <v>0</v>
      </c>
      <c r="K2">
        <f>CEILING(H2/Assumptions!$B$8,1)</f>
        <v>1</v>
      </c>
      <c r="L2">
        <f t="shared" ref="L2:L15" si="1">F2+G2</f>
        <v>1</v>
      </c>
      <c r="M2" s="2" t="str">
        <f t="shared" ref="M2:M15" si="2">IF(LEFT(A2,4)="€100","ADS1115",IF(LEFT(A2,4)="€250","ADS1115","ADS1263"))</f>
        <v>ADS1263</v>
      </c>
      <c r="N2" s="4">
        <f>INDEX(PriceBook!$B:$B, MATCH(M2, PriceBook!$A:$A, 0))</f>
        <v>19.82</v>
      </c>
      <c r="O2" s="2" t="str">
        <f t="shared" ref="O2:O15" si="3">IF(LEFT(A2,4)="€100","PICO2",IF(LEFT(A2,4)="€250","PICO2","NUCLEO_U575"))</f>
        <v>NUCLEO_U575</v>
      </c>
      <c r="P2" s="4">
        <f>INDEX(PriceBook!$B:$B, MATCH(O2, PriceBook!$A:$A, 0))</f>
        <v>20.7</v>
      </c>
      <c r="Q2" s="2">
        <f t="shared" ref="Q2:Q15" si="4">L2</f>
        <v>1</v>
      </c>
      <c r="R2" s="4">
        <f>IF(Q2&gt;=100, INDEX(PriceBook!$D:$D, MATCH("OPA140", PriceBook!$A:$A, 0)), IF(Q2&gt;=10, INDEX(PriceBook!$C:$C, MATCH("OPA140", PriceBook!$A:$A, 0)), INDEX(PriceBook!$B:$B, MATCH("OPA140", PriceBook!$A:$A, 0))))</f>
        <v>3.69</v>
      </c>
      <c r="S2" s="2">
        <f t="shared" ref="S2:S15" si="5">Q2*R2</f>
        <v>3.69</v>
      </c>
      <c r="T2" s="2">
        <f t="shared" ref="T2:T15" si="6">L2</f>
        <v>1</v>
      </c>
      <c r="U2" s="4">
        <f>INDEX(PriceBook!$B:$B, MATCH("MCP6561", PriceBook!$A:$A, 0))</f>
        <v>0.47299999999999998</v>
      </c>
      <c r="V2" s="2">
        <f t="shared" ref="V2:V15" si="7">T2*U2</f>
        <v>0.47299999999999998</v>
      </c>
      <c r="W2" s="2">
        <f t="shared" ref="W2:W15" si="8">IF(L2&gt;0,1,0)</f>
        <v>1</v>
      </c>
      <c r="X2" s="4">
        <f>INDEX(PriceBook!$B:$B, MATCH("TLV3501", PriceBook!$A:$A, 0))</f>
        <v>3.51</v>
      </c>
      <c r="Y2" s="2">
        <f t="shared" ref="Y2:Y15" si="9">W2*X2</f>
        <v>3.51</v>
      </c>
      <c r="Z2" s="4">
        <f>IF(I2&gt;=100, INDEX(PriceBook!$D:$D, MATCH("TPL0102", PriceBook!$A:$A, 0)), IF(I2&gt;=10, INDEX(PriceBook!$C:$C, MATCH("TPL0102", PriceBook!$A:$A, 0)), INDEX(PriceBook!$B:$B, MATCH("TPL0102", PriceBook!$A:$A, 0))))</f>
        <v>2.52</v>
      </c>
      <c r="AA2" s="2">
        <f t="shared" ref="AA2:AA15" si="10">I2*Z2</f>
        <v>2.52</v>
      </c>
      <c r="AB2" s="4">
        <f>INDEX(PriceBook!$B:$B, MATCH("TMUX1108", PriceBook!$A:$A, 0))</f>
        <v>2.86</v>
      </c>
      <c r="AC2" s="2">
        <f t="shared" ref="AC2:AC15" si="11">J2*AB2</f>
        <v>0</v>
      </c>
      <c r="AD2" s="4">
        <v>4</v>
      </c>
      <c r="AE2" s="2">
        <f t="shared" ref="AE2:AE15" si="12">K2*AD2</f>
        <v>4</v>
      </c>
      <c r="AF2" s="2">
        <f t="shared" ref="AF2:AF15" si="13">IF(L2&gt;=5,1,0)</f>
        <v>0</v>
      </c>
      <c r="AG2" s="4">
        <f>INDEX(PriceBook!$B:$B, MATCH("ADR4550", PriceBook!$A:$A, 0))</f>
        <v>7.49</v>
      </c>
      <c r="AH2" s="2">
        <f t="shared" ref="AH2:AH15" si="14">AF2*AG2</f>
        <v>0</v>
      </c>
      <c r="AI2" s="2">
        <f t="shared" ref="AI2:AI15" si="15">IF(L2&gt;=5,1,0)</f>
        <v>0</v>
      </c>
      <c r="AJ2" s="4">
        <f>INDEX(PriceBook!$B:$B, MATCH("LT3042", PriceBook!$A:$A, 0))</f>
        <v>7.82</v>
      </c>
      <c r="AK2" s="2">
        <f t="shared" ref="AK2:AK15" si="16">AI2*AJ2</f>
        <v>0</v>
      </c>
      <c r="AL2" s="4">
        <f t="shared" ref="AL2:AL15" si="17">N2</f>
        <v>19.82</v>
      </c>
      <c r="AM2" s="4">
        <f t="shared" ref="AM2:AM15" si="18">P2</f>
        <v>20.7</v>
      </c>
      <c r="AN2" s="4">
        <f t="shared" ref="AN2:AN15" si="19">S2+V2+Y2+AA2+AC2+AE2+AH2+AK2+AL2+AM2</f>
        <v>54.712999999999994</v>
      </c>
      <c r="AO2" s="4">
        <f>AN2*Assumptions!$B$2</f>
        <v>12.58399</v>
      </c>
      <c r="AP2" s="2">
        <f>I2*INDEX(PriceBook!$E:$E, MATCH("TPL0102", PriceBook!$A:$A, 0))+J2*INDEX(PriceBook!$E:$E, MATCH("TMUX1108", PriceBook!$A:$A, 0))+K2*INDEX(PriceBook!$E:$E, MATCH("ADG2128", PriceBook!$A:$A, 0))+L2*INDEX(PriceBook!$E:$E, MATCH("OPA140", PriceBook!$A:$A, 0))+L2*INDEX(PriceBook!$E:$E, MATCH("MCP6561", PriceBook!$A:$A, 0))+IF(L2&gt;0, INDEX(PriceBook!$E:$E, MATCH("TLV3501", PriceBook!$A:$A, 0)), 0)+INDEX(PriceBook!$E:$E, MATCH(M2, PriceBook!$A:$A, 0))+IF(L2&gt;=5, INDEX(PriceBook!$E:$E, MATCH("ADR4550", PriceBook!$A:$A, 0)), 0)+IF(L2&gt;=5, INDEX(PriceBook!$E:$E, MATCH("LT3042", PriceBook!$A:$A, 0)), 0)</f>
        <v>93</v>
      </c>
      <c r="AQ2" s="4">
        <f xml:space="preserve"> Assumptions!$B$6+Assumptions!$B$10*SUM(Tiers!C2:L2)</f>
        <v>30.04</v>
      </c>
      <c r="AR2" s="4">
        <f t="shared" ref="AR2:AR15" si="20">AN2+AO2+AQ2</f>
        <v>97.336989999999986</v>
      </c>
      <c r="AS2" s="4">
        <f>AR2*Assumptions!$B$2</f>
        <v>22.387507699999997</v>
      </c>
      <c r="AT2" s="4">
        <f t="shared" ref="AT2:AT15" si="21">AR2+AS2</f>
        <v>119.72449769999999</v>
      </c>
      <c r="AU2" s="4">
        <f t="shared" ref="AU2:AU15" si="22">IF(AT2&lt;=2000, CEILING(AT2, 250), CEILING(AT2, 500))</f>
        <v>250</v>
      </c>
    </row>
    <row r="3" spans="1:47" x14ac:dyDescent="0.2">
      <c r="A3" t="s">
        <v>99</v>
      </c>
      <c r="B3" t="s">
        <v>92</v>
      </c>
      <c r="C3">
        <v>1</v>
      </c>
      <c r="D3">
        <v>1</v>
      </c>
      <c r="E3">
        <v>1</v>
      </c>
      <c r="F3">
        <v>1</v>
      </c>
      <c r="G3">
        <v>0</v>
      </c>
      <c r="H3">
        <f t="shared" si="0"/>
        <v>2</v>
      </c>
      <c r="I3">
        <f t="shared" ref="I3:I15" si="23">H3</f>
        <v>2</v>
      </c>
      <c r="J3">
        <v>0</v>
      </c>
      <c r="K3">
        <f>CEILING(H3/Assumptions!$B$8,1)</f>
        <v>1</v>
      </c>
      <c r="L3">
        <f t="shared" si="1"/>
        <v>1</v>
      </c>
      <c r="M3" s="2" t="str">
        <f t="shared" si="2"/>
        <v>ADS1263</v>
      </c>
      <c r="N3" s="4">
        <f>INDEX(PriceBook!$B:$B, MATCH(M3, PriceBook!$A:$A, 0))</f>
        <v>19.82</v>
      </c>
      <c r="O3" s="2" t="str">
        <f t="shared" si="3"/>
        <v>NUCLEO_U575</v>
      </c>
      <c r="P3" s="4">
        <f>INDEX(PriceBook!$B:$B, MATCH(O3, PriceBook!$A:$A, 0))</f>
        <v>20.7</v>
      </c>
      <c r="Q3" s="2">
        <f t="shared" si="4"/>
        <v>1</v>
      </c>
      <c r="R3" s="4">
        <f>IF(Q3&gt;=100, INDEX(PriceBook!$D:$D, MATCH("OPA140", PriceBook!$A:$A, 0)), IF(Q3&gt;=10, INDEX(PriceBook!$C:$C, MATCH("OPA140", PriceBook!$A:$A, 0)), INDEX(PriceBook!$B:$B, MATCH("OPA140", PriceBook!$A:$A, 0))))</f>
        <v>3.69</v>
      </c>
      <c r="S3" s="2">
        <f t="shared" si="5"/>
        <v>3.69</v>
      </c>
      <c r="T3" s="2">
        <f t="shared" si="6"/>
        <v>1</v>
      </c>
      <c r="U3" s="4">
        <f>INDEX(PriceBook!$B:$B, MATCH("MCP6561", PriceBook!$A:$A, 0))</f>
        <v>0.47299999999999998</v>
      </c>
      <c r="V3" s="2">
        <f t="shared" si="7"/>
        <v>0.47299999999999998</v>
      </c>
      <c r="W3" s="2">
        <f t="shared" si="8"/>
        <v>1</v>
      </c>
      <c r="X3" s="4">
        <f>INDEX(PriceBook!$B:$B, MATCH("TLV3501", PriceBook!$A:$A, 0))</f>
        <v>3.51</v>
      </c>
      <c r="Y3" s="2">
        <f t="shared" si="9"/>
        <v>3.51</v>
      </c>
      <c r="Z3" s="4">
        <f>IF(I3&gt;=100, INDEX(PriceBook!$D:$D, MATCH("TPL0102", PriceBook!$A:$A, 0)), IF(I3&gt;=10, INDEX(PriceBook!$C:$C, MATCH("TPL0102", PriceBook!$A:$A, 0)), INDEX(PriceBook!$B:$B, MATCH("TPL0102", PriceBook!$A:$A, 0))))</f>
        <v>2.52</v>
      </c>
      <c r="AA3" s="2">
        <f t="shared" si="10"/>
        <v>5.04</v>
      </c>
      <c r="AB3" s="4">
        <f>INDEX(PriceBook!$B:$B, MATCH("TMUX1108", PriceBook!$A:$A, 0))</f>
        <v>2.86</v>
      </c>
      <c r="AC3" s="2">
        <f t="shared" si="11"/>
        <v>0</v>
      </c>
      <c r="AD3" s="4">
        <v>4</v>
      </c>
      <c r="AE3" s="2">
        <f t="shared" si="12"/>
        <v>4</v>
      </c>
      <c r="AF3" s="2">
        <f t="shared" si="13"/>
        <v>0</v>
      </c>
      <c r="AG3" s="4">
        <f>INDEX(PriceBook!$B:$B, MATCH("ADR4550", PriceBook!$A:$A, 0))</f>
        <v>7.49</v>
      </c>
      <c r="AH3" s="2">
        <f t="shared" si="14"/>
        <v>0</v>
      </c>
      <c r="AI3" s="2">
        <f t="shared" si="15"/>
        <v>0</v>
      </c>
      <c r="AJ3" s="4">
        <f>INDEX(PriceBook!$B:$B, MATCH("LT3042", PriceBook!$A:$A, 0))</f>
        <v>7.82</v>
      </c>
      <c r="AK3" s="2">
        <f t="shared" si="16"/>
        <v>0</v>
      </c>
      <c r="AL3" s="4">
        <f t="shared" si="17"/>
        <v>19.82</v>
      </c>
      <c r="AM3" s="4">
        <f t="shared" si="18"/>
        <v>20.7</v>
      </c>
      <c r="AN3" s="4">
        <f t="shared" si="19"/>
        <v>57.233000000000004</v>
      </c>
      <c r="AO3" s="4">
        <f>AN3*Assumptions!$B$2</f>
        <v>13.163590000000001</v>
      </c>
      <c r="AP3" s="2">
        <f>I3*INDEX(PriceBook!$E:$E, MATCH("TPL0102", PriceBook!$A:$A, 0))+J3*INDEX(PriceBook!$E:$E, MATCH("TMUX1108", PriceBook!$A:$A, 0))+K3*INDEX(PriceBook!$E:$E, MATCH("ADG2128", PriceBook!$A:$A, 0))+L3*INDEX(PriceBook!$E:$E, MATCH("OPA140", PriceBook!$A:$A, 0))+L3*INDEX(PriceBook!$E:$E, MATCH("MCP6561", PriceBook!$A:$A, 0))+IF(L3&gt;0, INDEX(PriceBook!$E:$E, MATCH("TLV3501", PriceBook!$A:$A, 0)), 0)+INDEX(PriceBook!$E:$E, MATCH(M3, PriceBook!$A:$A, 0))+IF(L3&gt;=5, INDEX(PriceBook!$E:$E, MATCH("ADR4550", PriceBook!$A:$A, 0)), 0)+IF(L3&gt;=5, INDEX(PriceBook!$E:$E, MATCH("LT3042", PriceBook!$A:$A, 0)), 0)</f>
        <v>107</v>
      </c>
      <c r="AQ3" s="4">
        <f xml:space="preserve"> Assumptions!$B$6+Assumptions!$B$10*SUM(Tiers!C3:L3)</f>
        <v>30.05</v>
      </c>
      <c r="AR3" s="4">
        <f t="shared" si="20"/>
        <v>100.44659</v>
      </c>
      <c r="AS3" s="4">
        <f>AR3*Assumptions!$B$2</f>
        <v>23.102715700000001</v>
      </c>
      <c r="AT3" s="4">
        <f t="shared" si="21"/>
        <v>123.54930570000001</v>
      </c>
      <c r="AU3" s="4">
        <f t="shared" si="22"/>
        <v>250</v>
      </c>
    </row>
    <row r="4" spans="1:47" x14ac:dyDescent="0.2">
      <c r="A4" t="s">
        <v>100</v>
      </c>
      <c r="B4" t="s">
        <v>91</v>
      </c>
      <c r="C4">
        <v>1</v>
      </c>
      <c r="D4">
        <v>3</v>
      </c>
      <c r="E4">
        <v>3</v>
      </c>
      <c r="F4">
        <v>3</v>
      </c>
      <c r="G4">
        <v>0</v>
      </c>
      <c r="H4">
        <f t="shared" si="0"/>
        <v>27</v>
      </c>
      <c r="I4">
        <f t="shared" si="23"/>
        <v>27</v>
      </c>
      <c r="J4">
        <v>0</v>
      </c>
      <c r="K4">
        <f>CEILING(H4/Assumptions!$B$8,1)</f>
        <v>4</v>
      </c>
      <c r="L4">
        <f t="shared" si="1"/>
        <v>3</v>
      </c>
      <c r="M4" s="2" t="str">
        <f t="shared" si="2"/>
        <v>ADS1263</v>
      </c>
      <c r="N4" s="4">
        <f>INDEX(PriceBook!$B:$B, MATCH(M4, PriceBook!$A:$A, 0))</f>
        <v>19.82</v>
      </c>
      <c r="O4" s="2" t="str">
        <f t="shared" si="3"/>
        <v>NUCLEO_U575</v>
      </c>
      <c r="P4" s="4">
        <f>INDEX(PriceBook!$B:$B, MATCH(O4, PriceBook!$A:$A, 0))</f>
        <v>20.7</v>
      </c>
      <c r="Q4" s="2">
        <f t="shared" si="4"/>
        <v>3</v>
      </c>
      <c r="R4" s="4">
        <f>IF(Q4&gt;=100, INDEX(PriceBook!$D:$D, MATCH("OPA140", PriceBook!$A:$A, 0)), IF(Q4&gt;=10, INDEX(PriceBook!$C:$C, MATCH("OPA140", PriceBook!$A:$A, 0)), INDEX(PriceBook!$B:$B, MATCH("OPA140", PriceBook!$A:$A, 0))))</f>
        <v>3.69</v>
      </c>
      <c r="S4" s="2">
        <f t="shared" si="5"/>
        <v>11.07</v>
      </c>
      <c r="T4" s="2">
        <f t="shared" si="6"/>
        <v>3</v>
      </c>
      <c r="U4" s="4">
        <f>INDEX(PriceBook!$B:$B, MATCH("MCP6561", PriceBook!$A:$A, 0))</f>
        <v>0.47299999999999998</v>
      </c>
      <c r="V4" s="2">
        <f t="shared" si="7"/>
        <v>1.419</v>
      </c>
      <c r="W4" s="2">
        <f t="shared" si="8"/>
        <v>1</v>
      </c>
      <c r="X4" s="4">
        <f>INDEX(PriceBook!$B:$B, MATCH("TLV3501", PriceBook!$A:$A, 0))</f>
        <v>3.51</v>
      </c>
      <c r="Y4" s="2">
        <f t="shared" si="9"/>
        <v>3.51</v>
      </c>
      <c r="Z4" s="4">
        <f>IF(I4&gt;=100, INDEX(PriceBook!$D:$D, MATCH("TPL0102", PriceBook!$A:$A, 0)), IF(I4&gt;=10, INDEX(PriceBook!$C:$C, MATCH("TPL0102", PriceBook!$A:$A, 0)), INDEX(PriceBook!$B:$B, MATCH("TPL0102", PriceBook!$A:$A, 0))))</f>
        <v>1.87</v>
      </c>
      <c r="AA4" s="2">
        <f t="shared" si="10"/>
        <v>50.49</v>
      </c>
      <c r="AB4" s="4">
        <f>INDEX(PriceBook!$B:$B, MATCH("TMUX1108", PriceBook!$A:$A, 0))</f>
        <v>2.86</v>
      </c>
      <c r="AC4" s="2">
        <f t="shared" si="11"/>
        <v>0</v>
      </c>
      <c r="AD4" s="4">
        <v>4</v>
      </c>
      <c r="AE4" s="2">
        <f t="shared" si="12"/>
        <v>16</v>
      </c>
      <c r="AF4" s="2">
        <f t="shared" si="13"/>
        <v>0</v>
      </c>
      <c r="AG4" s="4">
        <f>INDEX(PriceBook!$B:$B, MATCH("ADR4550", PriceBook!$A:$A, 0))</f>
        <v>7.49</v>
      </c>
      <c r="AH4" s="2">
        <f t="shared" si="14"/>
        <v>0</v>
      </c>
      <c r="AI4" s="2">
        <f t="shared" si="15"/>
        <v>0</v>
      </c>
      <c r="AJ4" s="4">
        <f>INDEX(PriceBook!$B:$B, MATCH("LT3042", PriceBook!$A:$A, 0))</f>
        <v>7.82</v>
      </c>
      <c r="AK4" s="2">
        <f t="shared" si="16"/>
        <v>0</v>
      </c>
      <c r="AL4" s="4">
        <f t="shared" si="17"/>
        <v>19.82</v>
      </c>
      <c r="AM4" s="4">
        <f t="shared" si="18"/>
        <v>20.7</v>
      </c>
      <c r="AN4" s="4">
        <f t="shared" si="19"/>
        <v>123.009</v>
      </c>
      <c r="AO4" s="4">
        <f>AN4*Assumptions!$B$2</f>
        <v>28.292070000000002</v>
      </c>
      <c r="AP4" s="2">
        <f>I4*INDEX(PriceBook!$E:$E, MATCH("TPL0102", PriceBook!$A:$A, 0))+J4*INDEX(PriceBook!$E:$E, MATCH("TMUX1108", PriceBook!$A:$A, 0))+K4*INDEX(PriceBook!$E:$E, MATCH("ADG2128", PriceBook!$A:$A, 0))+L4*INDEX(PriceBook!$E:$E, MATCH("OPA140", PriceBook!$A:$A, 0))+L4*INDEX(PriceBook!$E:$E, MATCH("MCP6561", PriceBook!$A:$A, 0))+IF(L4&gt;0, INDEX(PriceBook!$E:$E, MATCH("TLV3501", PriceBook!$A:$A, 0)), 0)+INDEX(PriceBook!$E:$E, MATCH(M4, PriceBook!$A:$A, 0))+IF(L4&gt;=5, INDEX(PriceBook!$E:$E, MATCH("ADR4550", PriceBook!$A:$A, 0)), 0)+IF(L4&gt;=5, INDEX(PriceBook!$E:$E, MATCH("LT3042", PriceBook!$A:$A, 0)), 0)</f>
        <v>579</v>
      </c>
      <c r="AQ4" s="4">
        <f xml:space="preserve"> Assumptions!$B$6+Assumptions!$B$10*SUM(Tiers!C4:L4)</f>
        <v>30.355</v>
      </c>
      <c r="AR4" s="4">
        <f t="shared" si="20"/>
        <v>181.65607</v>
      </c>
      <c r="AS4" s="4">
        <f>AR4*Assumptions!$B$2</f>
        <v>41.7808961</v>
      </c>
      <c r="AT4" s="4">
        <f t="shared" si="21"/>
        <v>223.43696610000001</v>
      </c>
      <c r="AU4" s="4">
        <f t="shared" si="22"/>
        <v>250</v>
      </c>
    </row>
    <row r="5" spans="1:47" x14ac:dyDescent="0.2">
      <c r="A5" t="s">
        <v>100</v>
      </c>
      <c r="B5" t="s">
        <v>92</v>
      </c>
      <c r="C5">
        <v>1</v>
      </c>
      <c r="D5">
        <v>3</v>
      </c>
      <c r="E5">
        <v>3</v>
      </c>
      <c r="F5">
        <v>3</v>
      </c>
      <c r="G5">
        <v>0</v>
      </c>
      <c r="H5">
        <f t="shared" si="0"/>
        <v>18</v>
      </c>
      <c r="I5">
        <f t="shared" si="23"/>
        <v>18</v>
      </c>
      <c r="J5">
        <v>0</v>
      </c>
      <c r="K5">
        <f>CEILING(H5/Assumptions!$B$8,1)</f>
        <v>3</v>
      </c>
      <c r="L5">
        <f t="shared" si="1"/>
        <v>3</v>
      </c>
      <c r="M5" s="2" t="str">
        <f t="shared" si="2"/>
        <v>ADS1263</v>
      </c>
      <c r="N5" s="4">
        <f>INDEX(PriceBook!$B:$B, MATCH(M5, PriceBook!$A:$A, 0))</f>
        <v>19.82</v>
      </c>
      <c r="O5" s="2" t="str">
        <f t="shared" si="3"/>
        <v>NUCLEO_U575</v>
      </c>
      <c r="P5" s="4">
        <f>INDEX(PriceBook!$B:$B, MATCH(O5, PriceBook!$A:$A, 0))</f>
        <v>20.7</v>
      </c>
      <c r="Q5" s="2">
        <f t="shared" si="4"/>
        <v>3</v>
      </c>
      <c r="R5" s="4">
        <f>IF(Q5&gt;=100, INDEX(PriceBook!$D:$D, MATCH("OPA140", PriceBook!$A:$A, 0)), IF(Q5&gt;=10, INDEX(PriceBook!$C:$C, MATCH("OPA140", PriceBook!$A:$A, 0)), INDEX(PriceBook!$B:$B, MATCH("OPA140", PriceBook!$A:$A, 0))))</f>
        <v>3.69</v>
      </c>
      <c r="S5" s="2">
        <f t="shared" si="5"/>
        <v>11.07</v>
      </c>
      <c r="T5" s="2">
        <f t="shared" si="6"/>
        <v>3</v>
      </c>
      <c r="U5" s="4">
        <f>INDEX(PriceBook!$B:$B, MATCH("MCP6561", PriceBook!$A:$A, 0))</f>
        <v>0.47299999999999998</v>
      </c>
      <c r="V5" s="2">
        <f t="shared" si="7"/>
        <v>1.419</v>
      </c>
      <c r="W5" s="2">
        <f t="shared" si="8"/>
        <v>1</v>
      </c>
      <c r="X5" s="4">
        <f>INDEX(PriceBook!$B:$B, MATCH("TLV3501", PriceBook!$A:$A, 0))</f>
        <v>3.51</v>
      </c>
      <c r="Y5" s="2">
        <f t="shared" si="9"/>
        <v>3.51</v>
      </c>
      <c r="Z5" s="4">
        <f>IF(I5&gt;=100, INDEX(PriceBook!$D:$D, MATCH("TPL0102", PriceBook!$A:$A, 0)), IF(I5&gt;=10, INDEX(PriceBook!$C:$C, MATCH("TPL0102", PriceBook!$A:$A, 0)), INDEX(PriceBook!$B:$B, MATCH("TPL0102", PriceBook!$A:$A, 0))))</f>
        <v>1.87</v>
      </c>
      <c r="AA5" s="2">
        <f t="shared" si="10"/>
        <v>33.660000000000004</v>
      </c>
      <c r="AB5" s="4">
        <f>INDEX(PriceBook!$B:$B, MATCH("TMUX1108", PriceBook!$A:$A, 0))</f>
        <v>2.86</v>
      </c>
      <c r="AC5" s="2">
        <f t="shared" si="11"/>
        <v>0</v>
      </c>
      <c r="AD5" s="4">
        <v>4</v>
      </c>
      <c r="AE5" s="2">
        <f t="shared" si="12"/>
        <v>12</v>
      </c>
      <c r="AF5" s="2">
        <f t="shared" si="13"/>
        <v>0</v>
      </c>
      <c r="AG5" s="4">
        <f>INDEX(PriceBook!$B:$B, MATCH("ADR4550", PriceBook!$A:$A, 0))</f>
        <v>7.49</v>
      </c>
      <c r="AH5" s="2">
        <f t="shared" si="14"/>
        <v>0</v>
      </c>
      <c r="AI5" s="2">
        <f t="shared" si="15"/>
        <v>0</v>
      </c>
      <c r="AJ5" s="4">
        <f>INDEX(PriceBook!$B:$B, MATCH("LT3042", PriceBook!$A:$A, 0))</f>
        <v>7.82</v>
      </c>
      <c r="AK5" s="2">
        <f t="shared" si="16"/>
        <v>0</v>
      </c>
      <c r="AL5" s="4">
        <f t="shared" si="17"/>
        <v>19.82</v>
      </c>
      <c r="AM5" s="4">
        <f t="shared" si="18"/>
        <v>20.7</v>
      </c>
      <c r="AN5" s="4">
        <f t="shared" si="19"/>
        <v>102.17900000000002</v>
      </c>
      <c r="AO5" s="4">
        <f>AN5*Assumptions!$B$2</f>
        <v>23.501170000000005</v>
      </c>
      <c r="AP5" s="2">
        <f>I5*INDEX(PriceBook!$E:$E, MATCH("TPL0102", PriceBook!$A:$A, 0))+J5*INDEX(PriceBook!$E:$E, MATCH("TMUX1108", PriceBook!$A:$A, 0))+K5*INDEX(PriceBook!$E:$E, MATCH("ADG2128", PriceBook!$A:$A, 0))+L5*INDEX(PriceBook!$E:$E, MATCH("OPA140", PriceBook!$A:$A, 0))+L5*INDEX(PriceBook!$E:$E, MATCH("MCP6561", PriceBook!$A:$A, 0))+IF(L5&gt;0, INDEX(PriceBook!$E:$E, MATCH("TLV3501", PriceBook!$A:$A, 0)), 0)+INDEX(PriceBook!$E:$E, MATCH(M5, PriceBook!$A:$A, 0))+IF(L5&gt;=5, INDEX(PriceBook!$E:$E, MATCH("ADR4550", PriceBook!$A:$A, 0)), 0)+IF(L5&gt;=5, INDEX(PriceBook!$E:$E, MATCH("LT3042", PriceBook!$A:$A, 0)), 0)</f>
        <v>421</v>
      </c>
      <c r="AQ5" s="4">
        <f xml:space="preserve"> Assumptions!$B$6+Assumptions!$B$10*SUM(Tiers!C5:L5)</f>
        <v>30.26</v>
      </c>
      <c r="AR5" s="4">
        <f t="shared" si="20"/>
        <v>155.94017000000002</v>
      </c>
      <c r="AS5" s="4">
        <f>AR5*Assumptions!$B$2</f>
        <v>35.866239100000008</v>
      </c>
      <c r="AT5" s="4">
        <f t="shared" si="21"/>
        <v>191.80640910000002</v>
      </c>
      <c r="AU5" s="4">
        <f t="shared" si="22"/>
        <v>250</v>
      </c>
    </row>
    <row r="6" spans="1:47" x14ac:dyDescent="0.2">
      <c r="A6" t="s">
        <v>101</v>
      </c>
      <c r="B6" t="s">
        <v>91</v>
      </c>
      <c r="C6">
        <v>1</v>
      </c>
      <c r="D6">
        <v>5</v>
      </c>
      <c r="E6">
        <v>5</v>
      </c>
      <c r="F6">
        <v>5</v>
      </c>
      <c r="G6">
        <v>0</v>
      </c>
      <c r="H6">
        <f t="shared" si="0"/>
        <v>125</v>
      </c>
      <c r="I6">
        <f t="shared" si="23"/>
        <v>125</v>
      </c>
      <c r="J6">
        <v>0</v>
      </c>
      <c r="K6">
        <f>CEILING(H6/Assumptions!$B$8,1)</f>
        <v>16</v>
      </c>
      <c r="L6">
        <f t="shared" si="1"/>
        <v>5</v>
      </c>
      <c r="M6" s="2" t="str">
        <f t="shared" si="2"/>
        <v>ADS1263</v>
      </c>
      <c r="N6" s="4">
        <f>INDEX(PriceBook!$B:$B, MATCH(M6, PriceBook!$A:$A, 0))</f>
        <v>19.82</v>
      </c>
      <c r="O6" s="2" t="str">
        <f t="shared" si="3"/>
        <v>NUCLEO_U575</v>
      </c>
      <c r="P6" s="4">
        <f>INDEX(PriceBook!$B:$B, MATCH(O6, PriceBook!$A:$A, 0))</f>
        <v>20.7</v>
      </c>
      <c r="Q6" s="2">
        <f t="shared" si="4"/>
        <v>5</v>
      </c>
      <c r="R6" s="4">
        <f>IF(Q6&gt;=100, INDEX(PriceBook!$D:$D, MATCH("OPA140", PriceBook!$A:$A, 0)), IF(Q6&gt;=10, INDEX(PriceBook!$C:$C, MATCH("OPA140", PriceBook!$A:$A, 0)), INDEX(PriceBook!$B:$B, MATCH("OPA140", PriceBook!$A:$A, 0))))</f>
        <v>3.69</v>
      </c>
      <c r="S6" s="2">
        <f t="shared" si="5"/>
        <v>18.45</v>
      </c>
      <c r="T6" s="2">
        <f t="shared" si="6"/>
        <v>5</v>
      </c>
      <c r="U6" s="4">
        <f>INDEX(PriceBook!$B:$B, MATCH("MCP6561", PriceBook!$A:$A, 0))</f>
        <v>0.47299999999999998</v>
      </c>
      <c r="V6" s="2">
        <f t="shared" si="7"/>
        <v>2.3649999999999998</v>
      </c>
      <c r="W6" s="2">
        <f t="shared" si="8"/>
        <v>1</v>
      </c>
      <c r="X6" s="4">
        <f>INDEX(PriceBook!$B:$B, MATCH("TLV3501", PriceBook!$A:$A, 0))</f>
        <v>3.51</v>
      </c>
      <c r="Y6" s="2">
        <f t="shared" si="9"/>
        <v>3.51</v>
      </c>
      <c r="Z6" s="4">
        <f>IF(I6&gt;=100, INDEX(PriceBook!$D:$D, MATCH("TPL0102", PriceBook!$A:$A, 0)), IF(I6&gt;=10, INDEX(PriceBook!$C:$C, MATCH("TPL0102", PriceBook!$A:$A, 0)), INDEX(PriceBook!$B:$B, MATCH("TPL0102", PriceBook!$A:$A, 0))))</f>
        <v>1.54</v>
      </c>
      <c r="AA6" s="2">
        <f t="shared" si="10"/>
        <v>192.5</v>
      </c>
      <c r="AB6" s="4">
        <f>INDEX(PriceBook!$B:$B, MATCH("TMUX1108", PriceBook!$A:$A, 0))</f>
        <v>2.86</v>
      </c>
      <c r="AC6" s="2">
        <f t="shared" si="11"/>
        <v>0</v>
      </c>
      <c r="AD6" s="4">
        <v>4</v>
      </c>
      <c r="AE6" s="2">
        <f t="shared" si="12"/>
        <v>64</v>
      </c>
      <c r="AF6" s="2">
        <f t="shared" si="13"/>
        <v>1</v>
      </c>
      <c r="AG6" s="4">
        <f>INDEX(PriceBook!$B:$B, MATCH("ADR4550", PriceBook!$A:$A, 0))</f>
        <v>7.49</v>
      </c>
      <c r="AH6" s="2">
        <f t="shared" si="14"/>
        <v>7.49</v>
      </c>
      <c r="AI6" s="2">
        <f t="shared" si="15"/>
        <v>1</v>
      </c>
      <c r="AJ6" s="4">
        <f>INDEX(PriceBook!$B:$B, MATCH("LT3042", PriceBook!$A:$A, 0))</f>
        <v>7.82</v>
      </c>
      <c r="AK6" s="2">
        <f t="shared" si="16"/>
        <v>7.82</v>
      </c>
      <c r="AL6" s="4">
        <f t="shared" si="17"/>
        <v>19.82</v>
      </c>
      <c r="AM6" s="4">
        <f t="shared" si="18"/>
        <v>20.7</v>
      </c>
      <c r="AN6" s="4">
        <f t="shared" si="19"/>
        <v>336.65499999999997</v>
      </c>
      <c r="AO6" s="4">
        <f>AN6*Assumptions!$B$2</f>
        <v>77.43065</v>
      </c>
      <c r="AP6" s="2">
        <f>I6*INDEX(PriceBook!$E:$E, MATCH("TPL0102", PriceBook!$A:$A, 0))+J6*INDEX(PriceBook!$E:$E, MATCH("TMUX1108", PriceBook!$A:$A, 0))+K6*INDEX(PriceBook!$E:$E, MATCH("ADG2128", PriceBook!$A:$A, 0))+L6*INDEX(PriceBook!$E:$E, MATCH("OPA140", PriceBook!$A:$A, 0))+L6*INDEX(PriceBook!$E:$E, MATCH("MCP6561", PriceBook!$A:$A, 0))+IF(L6&gt;0, INDEX(PriceBook!$E:$E, MATCH("TLV3501", PriceBook!$A:$A, 0)), 0)+INDEX(PriceBook!$E:$E, MATCH(M6, PriceBook!$A:$A, 0))+IF(L6&gt;=5, INDEX(PriceBook!$E:$E, MATCH("ADR4550", PriceBook!$A:$A, 0)), 0)+IF(L6&gt;=5, INDEX(PriceBook!$E:$E, MATCH("LT3042", PriceBook!$A:$A, 0)), 0)</f>
        <v>2379</v>
      </c>
      <c r="AQ6" s="4">
        <f xml:space="preserve"> Assumptions!$B$6+Assumptions!$B$10*SUM(Tiers!C6:L6)</f>
        <v>31.434999999999999</v>
      </c>
      <c r="AR6" s="4">
        <f t="shared" si="20"/>
        <v>445.52064999999999</v>
      </c>
      <c r="AS6" s="4">
        <f>AR6*Assumptions!$B$2</f>
        <v>102.46974950000001</v>
      </c>
      <c r="AT6" s="4">
        <f t="shared" si="21"/>
        <v>547.99039949999997</v>
      </c>
      <c r="AU6" s="4">
        <f t="shared" si="22"/>
        <v>750</v>
      </c>
    </row>
    <row r="7" spans="1:47" x14ac:dyDescent="0.2">
      <c r="A7" t="s">
        <v>101</v>
      </c>
      <c r="B7" t="s">
        <v>92</v>
      </c>
      <c r="C7">
        <v>1</v>
      </c>
      <c r="D7">
        <v>5</v>
      </c>
      <c r="E7">
        <v>5</v>
      </c>
      <c r="F7">
        <v>5</v>
      </c>
      <c r="G7">
        <v>0</v>
      </c>
      <c r="H7">
        <f t="shared" si="0"/>
        <v>50</v>
      </c>
      <c r="I7">
        <f t="shared" si="23"/>
        <v>50</v>
      </c>
      <c r="J7">
        <v>0</v>
      </c>
      <c r="K7">
        <f>CEILING(H7/Assumptions!$B$8,1)</f>
        <v>7</v>
      </c>
      <c r="L7">
        <f t="shared" si="1"/>
        <v>5</v>
      </c>
      <c r="M7" s="2" t="str">
        <f t="shared" si="2"/>
        <v>ADS1263</v>
      </c>
      <c r="N7" s="4">
        <f>INDEX(PriceBook!$B:$B, MATCH(M7, PriceBook!$A:$A, 0))</f>
        <v>19.82</v>
      </c>
      <c r="O7" s="2" t="str">
        <f t="shared" si="3"/>
        <v>NUCLEO_U575</v>
      </c>
      <c r="P7" s="4">
        <f>INDEX(PriceBook!$B:$B, MATCH(O7, PriceBook!$A:$A, 0))</f>
        <v>20.7</v>
      </c>
      <c r="Q7" s="2">
        <f t="shared" si="4"/>
        <v>5</v>
      </c>
      <c r="R7" s="4">
        <f>IF(Q7&gt;=100, INDEX(PriceBook!$D:$D, MATCH("OPA140", PriceBook!$A:$A, 0)), IF(Q7&gt;=10, INDEX(PriceBook!$C:$C, MATCH("OPA140", PriceBook!$A:$A, 0)), INDEX(PriceBook!$B:$B, MATCH("OPA140", PriceBook!$A:$A, 0))))</f>
        <v>3.69</v>
      </c>
      <c r="S7" s="2">
        <f t="shared" si="5"/>
        <v>18.45</v>
      </c>
      <c r="T7" s="2">
        <f t="shared" si="6"/>
        <v>5</v>
      </c>
      <c r="U7" s="4">
        <f>INDEX(PriceBook!$B:$B, MATCH("MCP6561", PriceBook!$A:$A, 0))</f>
        <v>0.47299999999999998</v>
      </c>
      <c r="V7" s="2">
        <f t="shared" si="7"/>
        <v>2.3649999999999998</v>
      </c>
      <c r="W7" s="2">
        <f t="shared" si="8"/>
        <v>1</v>
      </c>
      <c r="X7" s="4">
        <f>INDEX(PriceBook!$B:$B, MATCH("TLV3501", PriceBook!$A:$A, 0))</f>
        <v>3.51</v>
      </c>
      <c r="Y7" s="2">
        <f t="shared" si="9"/>
        <v>3.51</v>
      </c>
      <c r="Z7" s="4">
        <f>IF(I7&gt;=100, INDEX(PriceBook!$D:$D, MATCH("TPL0102", PriceBook!$A:$A, 0)), IF(I7&gt;=10, INDEX(PriceBook!$C:$C, MATCH("TPL0102", PriceBook!$A:$A, 0)), INDEX(PriceBook!$B:$B, MATCH("TPL0102", PriceBook!$A:$A, 0))))</f>
        <v>1.87</v>
      </c>
      <c r="AA7" s="2">
        <f t="shared" si="10"/>
        <v>93.5</v>
      </c>
      <c r="AB7" s="4">
        <f>INDEX(PriceBook!$B:$B, MATCH("TMUX1108", PriceBook!$A:$A, 0))</f>
        <v>2.86</v>
      </c>
      <c r="AC7" s="2">
        <f t="shared" si="11"/>
        <v>0</v>
      </c>
      <c r="AD7" s="4">
        <v>4</v>
      </c>
      <c r="AE7" s="2">
        <f t="shared" si="12"/>
        <v>28</v>
      </c>
      <c r="AF7" s="2">
        <f t="shared" si="13"/>
        <v>1</v>
      </c>
      <c r="AG7" s="4">
        <f>INDEX(PriceBook!$B:$B, MATCH("ADR4550", PriceBook!$A:$A, 0))</f>
        <v>7.49</v>
      </c>
      <c r="AH7" s="2">
        <f t="shared" si="14"/>
        <v>7.49</v>
      </c>
      <c r="AI7" s="2">
        <f t="shared" si="15"/>
        <v>1</v>
      </c>
      <c r="AJ7" s="4">
        <f>INDEX(PriceBook!$B:$B, MATCH("LT3042", PriceBook!$A:$A, 0))</f>
        <v>7.82</v>
      </c>
      <c r="AK7" s="2">
        <f t="shared" si="16"/>
        <v>7.82</v>
      </c>
      <c r="AL7" s="4">
        <f t="shared" si="17"/>
        <v>19.82</v>
      </c>
      <c r="AM7" s="4">
        <f t="shared" si="18"/>
        <v>20.7</v>
      </c>
      <c r="AN7" s="4">
        <f t="shared" si="19"/>
        <v>201.65499999999997</v>
      </c>
      <c r="AO7" s="4">
        <f>AN7*Assumptions!$B$2</f>
        <v>46.380649999999996</v>
      </c>
      <c r="AP7" s="2">
        <f>I7*INDEX(PriceBook!$E:$E, MATCH("TPL0102", PriceBook!$A:$A, 0))+J7*INDEX(PriceBook!$E:$E, MATCH("TMUX1108", PriceBook!$A:$A, 0))+K7*INDEX(PriceBook!$E:$E, MATCH("ADG2128", PriceBook!$A:$A, 0))+L7*INDEX(PriceBook!$E:$E, MATCH("OPA140", PriceBook!$A:$A, 0))+L7*INDEX(PriceBook!$E:$E, MATCH("MCP6561", PriceBook!$A:$A, 0))+IF(L7&gt;0, INDEX(PriceBook!$E:$E, MATCH("TLV3501", PriceBook!$A:$A, 0)), 0)+INDEX(PriceBook!$E:$E, MATCH(M7, PriceBook!$A:$A, 0))+IF(L7&gt;=5, INDEX(PriceBook!$E:$E, MATCH("ADR4550", PriceBook!$A:$A, 0)), 0)+IF(L7&gt;=5, INDEX(PriceBook!$E:$E, MATCH("LT3042", PriceBook!$A:$A, 0)), 0)</f>
        <v>1041</v>
      </c>
      <c r="AQ7" s="4">
        <f xml:space="preserve"> Assumptions!$B$6+Assumptions!$B$10*SUM(Tiers!C7:L7)</f>
        <v>30.64</v>
      </c>
      <c r="AR7" s="4">
        <f t="shared" si="20"/>
        <v>278.67564999999996</v>
      </c>
      <c r="AS7" s="4">
        <f>AR7*Assumptions!$B$2</f>
        <v>64.095399499999999</v>
      </c>
      <c r="AT7" s="4">
        <f t="shared" si="21"/>
        <v>342.77104949999995</v>
      </c>
      <c r="AU7" s="4">
        <f t="shared" si="22"/>
        <v>500</v>
      </c>
    </row>
    <row r="8" spans="1:47" x14ac:dyDescent="0.2">
      <c r="A8" t="s">
        <v>102</v>
      </c>
      <c r="B8" t="s">
        <v>91</v>
      </c>
      <c r="C8">
        <v>1</v>
      </c>
      <c r="D8">
        <v>7</v>
      </c>
      <c r="E8">
        <v>7</v>
      </c>
      <c r="F8">
        <v>5</v>
      </c>
      <c r="G8">
        <v>0</v>
      </c>
      <c r="H8">
        <f t="shared" si="0"/>
        <v>245</v>
      </c>
      <c r="I8">
        <f t="shared" si="23"/>
        <v>245</v>
      </c>
      <c r="J8">
        <v>0</v>
      </c>
      <c r="K8">
        <f>CEILING(H8/Assumptions!$B$8,1)</f>
        <v>31</v>
      </c>
      <c r="L8">
        <f t="shared" si="1"/>
        <v>5</v>
      </c>
      <c r="M8" s="2" t="str">
        <f t="shared" si="2"/>
        <v>ADS1263</v>
      </c>
      <c r="N8" s="4">
        <f>INDEX(PriceBook!$B:$B, MATCH(M8, PriceBook!$A:$A, 0))</f>
        <v>19.82</v>
      </c>
      <c r="O8" s="2" t="str">
        <f t="shared" si="3"/>
        <v>NUCLEO_U575</v>
      </c>
      <c r="P8" s="4">
        <f>INDEX(PriceBook!$B:$B, MATCH(O8, PriceBook!$A:$A, 0))</f>
        <v>20.7</v>
      </c>
      <c r="Q8" s="2">
        <f t="shared" si="4"/>
        <v>5</v>
      </c>
      <c r="R8" s="4">
        <f>IF(Q8&gt;=100, INDEX(PriceBook!$D:$D, MATCH("OPA140", PriceBook!$A:$A, 0)), IF(Q8&gt;=10, INDEX(PriceBook!$C:$C, MATCH("OPA140", PriceBook!$A:$A, 0)), INDEX(PriceBook!$B:$B, MATCH("OPA140", PriceBook!$A:$A, 0))))</f>
        <v>3.69</v>
      </c>
      <c r="S8" s="2">
        <f t="shared" si="5"/>
        <v>18.45</v>
      </c>
      <c r="T8" s="2">
        <f t="shared" si="6"/>
        <v>5</v>
      </c>
      <c r="U8" s="4">
        <f>INDEX(PriceBook!$B:$B, MATCH("MCP6561", PriceBook!$A:$A, 0))</f>
        <v>0.47299999999999998</v>
      </c>
      <c r="V8" s="2">
        <f t="shared" si="7"/>
        <v>2.3649999999999998</v>
      </c>
      <c r="W8" s="2">
        <f t="shared" si="8"/>
        <v>1</v>
      </c>
      <c r="X8" s="4">
        <f>INDEX(PriceBook!$B:$B, MATCH("TLV3501", PriceBook!$A:$A, 0))</f>
        <v>3.51</v>
      </c>
      <c r="Y8" s="2">
        <f t="shared" si="9"/>
        <v>3.51</v>
      </c>
      <c r="Z8" s="4">
        <f>IF(I8&gt;=100, INDEX(PriceBook!$D:$D, MATCH("TPL0102", PriceBook!$A:$A, 0)), IF(I8&gt;=10, INDEX(PriceBook!$C:$C, MATCH("TPL0102", PriceBook!$A:$A, 0)), INDEX(PriceBook!$B:$B, MATCH("TPL0102", PriceBook!$A:$A, 0))))</f>
        <v>1.54</v>
      </c>
      <c r="AA8" s="2">
        <f t="shared" si="10"/>
        <v>377.3</v>
      </c>
      <c r="AB8" s="4">
        <f>INDEX(PriceBook!$B:$B, MATCH("TMUX1108", PriceBook!$A:$A, 0))</f>
        <v>2.86</v>
      </c>
      <c r="AC8" s="2">
        <f t="shared" si="11"/>
        <v>0</v>
      </c>
      <c r="AD8" s="4">
        <v>4</v>
      </c>
      <c r="AE8" s="2">
        <f t="shared" si="12"/>
        <v>124</v>
      </c>
      <c r="AF8" s="2">
        <f t="shared" si="13"/>
        <v>1</v>
      </c>
      <c r="AG8" s="4">
        <f>INDEX(PriceBook!$B:$B, MATCH("ADR4550", PriceBook!$A:$A, 0))</f>
        <v>7.49</v>
      </c>
      <c r="AH8" s="2">
        <f t="shared" si="14"/>
        <v>7.49</v>
      </c>
      <c r="AI8" s="2">
        <f t="shared" si="15"/>
        <v>1</v>
      </c>
      <c r="AJ8" s="4">
        <f>INDEX(PriceBook!$B:$B, MATCH("LT3042", PriceBook!$A:$A, 0))</f>
        <v>7.82</v>
      </c>
      <c r="AK8" s="2">
        <f t="shared" si="16"/>
        <v>7.82</v>
      </c>
      <c r="AL8" s="4">
        <f t="shared" si="17"/>
        <v>19.82</v>
      </c>
      <c r="AM8" s="4">
        <f t="shared" si="18"/>
        <v>20.7</v>
      </c>
      <c r="AN8" s="4">
        <f t="shared" si="19"/>
        <v>581.45500000000015</v>
      </c>
      <c r="AO8" s="4">
        <f>AN8*Assumptions!$B$2</f>
        <v>133.73465000000004</v>
      </c>
      <c r="AP8" s="2">
        <f>I8*INDEX(PriceBook!$E:$E, MATCH("TPL0102", PriceBook!$A:$A, 0))+J8*INDEX(PriceBook!$E:$E, MATCH("TMUX1108", PriceBook!$A:$A, 0))+K8*INDEX(PriceBook!$E:$E, MATCH("ADG2128", PriceBook!$A:$A, 0))+L8*INDEX(PriceBook!$E:$E, MATCH("OPA140", PriceBook!$A:$A, 0))+L8*INDEX(PriceBook!$E:$E, MATCH("MCP6561", PriceBook!$A:$A, 0))+IF(L8&gt;0, INDEX(PriceBook!$E:$E, MATCH("TLV3501", PriceBook!$A:$A, 0)), 0)+INDEX(PriceBook!$E:$E, MATCH(M8, PriceBook!$A:$A, 0))+IF(L8&gt;=5, INDEX(PriceBook!$E:$E, MATCH("ADR4550", PriceBook!$A:$A, 0)), 0)+IF(L8&gt;=5, INDEX(PriceBook!$E:$E, MATCH("LT3042", PriceBook!$A:$A, 0)), 0)</f>
        <v>4539</v>
      </c>
      <c r="AQ8" s="4">
        <f xml:space="preserve"> Assumptions!$B$6+Assumptions!$B$10*SUM(Tiers!C8:L8)</f>
        <v>32.729999999999997</v>
      </c>
      <c r="AR8" s="4">
        <f t="shared" si="20"/>
        <v>747.91965000000027</v>
      </c>
      <c r="AS8" s="4">
        <f>AR8*Assumptions!$B$2</f>
        <v>172.02151950000007</v>
      </c>
      <c r="AT8" s="4">
        <f t="shared" si="21"/>
        <v>919.94116950000034</v>
      </c>
      <c r="AU8" s="4">
        <f t="shared" si="22"/>
        <v>1000</v>
      </c>
    </row>
    <row r="9" spans="1:47" x14ac:dyDescent="0.2">
      <c r="A9" t="s">
        <v>102</v>
      </c>
      <c r="B9" t="s">
        <v>92</v>
      </c>
      <c r="C9">
        <v>1</v>
      </c>
      <c r="D9">
        <v>7</v>
      </c>
      <c r="E9">
        <v>7</v>
      </c>
      <c r="F9">
        <v>5</v>
      </c>
      <c r="G9">
        <v>0</v>
      </c>
      <c r="H9">
        <f t="shared" si="0"/>
        <v>70</v>
      </c>
      <c r="I9">
        <f t="shared" si="23"/>
        <v>70</v>
      </c>
      <c r="J9">
        <v>0</v>
      </c>
      <c r="K9">
        <f>CEILING(H9/Assumptions!$B$8,1)</f>
        <v>9</v>
      </c>
      <c r="L9">
        <f t="shared" si="1"/>
        <v>5</v>
      </c>
      <c r="M9" s="2" t="str">
        <f t="shared" si="2"/>
        <v>ADS1263</v>
      </c>
      <c r="N9" s="4">
        <f>INDEX(PriceBook!$B:$B, MATCH(M9, PriceBook!$A:$A, 0))</f>
        <v>19.82</v>
      </c>
      <c r="O9" s="2" t="str">
        <f t="shared" si="3"/>
        <v>NUCLEO_U575</v>
      </c>
      <c r="P9" s="4">
        <f>INDEX(PriceBook!$B:$B, MATCH(O9, PriceBook!$A:$A, 0))</f>
        <v>20.7</v>
      </c>
      <c r="Q9" s="2">
        <f t="shared" si="4"/>
        <v>5</v>
      </c>
      <c r="R9" s="4">
        <f>IF(Q9&gt;=100, INDEX(PriceBook!$D:$D, MATCH("OPA140", PriceBook!$A:$A, 0)), IF(Q9&gt;=10, INDEX(PriceBook!$C:$C, MATCH("OPA140", PriceBook!$A:$A, 0)), INDEX(PriceBook!$B:$B, MATCH("OPA140", PriceBook!$A:$A, 0))))</f>
        <v>3.69</v>
      </c>
      <c r="S9" s="2">
        <f t="shared" si="5"/>
        <v>18.45</v>
      </c>
      <c r="T9" s="2">
        <f t="shared" si="6"/>
        <v>5</v>
      </c>
      <c r="U9" s="4">
        <f>INDEX(PriceBook!$B:$B, MATCH("MCP6561", PriceBook!$A:$A, 0))</f>
        <v>0.47299999999999998</v>
      </c>
      <c r="V9" s="2">
        <f t="shared" si="7"/>
        <v>2.3649999999999998</v>
      </c>
      <c r="W9" s="2">
        <f t="shared" si="8"/>
        <v>1</v>
      </c>
      <c r="X9" s="4">
        <f>INDEX(PriceBook!$B:$B, MATCH("TLV3501", PriceBook!$A:$A, 0))</f>
        <v>3.51</v>
      </c>
      <c r="Y9" s="2">
        <f t="shared" si="9"/>
        <v>3.51</v>
      </c>
      <c r="Z9" s="4">
        <f>IF(I9&gt;=100, INDEX(PriceBook!$D:$D, MATCH("TPL0102", PriceBook!$A:$A, 0)), IF(I9&gt;=10, INDEX(PriceBook!$C:$C, MATCH("TPL0102", PriceBook!$A:$A, 0)), INDEX(PriceBook!$B:$B, MATCH("TPL0102", PriceBook!$A:$A, 0))))</f>
        <v>1.87</v>
      </c>
      <c r="AA9" s="2">
        <f t="shared" si="10"/>
        <v>130.9</v>
      </c>
      <c r="AB9" s="4">
        <f>INDEX(PriceBook!$B:$B, MATCH("TMUX1108", PriceBook!$A:$A, 0))</f>
        <v>2.86</v>
      </c>
      <c r="AC9" s="2">
        <f t="shared" si="11"/>
        <v>0</v>
      </c>
      <c r="AD9" s="4">
        <v>4</v>
      </c>
      <c r="AE9" s="2">
        <f t="shared" si="12"/>
        <v>36</v>
      </c>
      <c r="AF9" s="2">
        <f t="shared" si="13"/>
        <v>1</v>
      </c>
      <c r="AG9" s="4">
        <f>INDEX(PriceBook!$B:$B, MATCH("ADR4550", PriceBook!$A:$A, 0))</f>
        <v>7.49</v>
      </c>
      <c r="AH9" s="2">
        <f t="shared" si="14"/>
        <v>7.49</v>
      </c>
      <c r="AI9" s="2">
        <f t="shared" si="15"/>
        <v>1</v>
      </c>
      <c r="AJ9" s="4">
        <f>INDEX(PriceBook!$B:$B, MATCH("LT3042", PriceBook!$A:$A, 0))</f>
        <v>7.82</v>
      </c>
      <c r="AK9" s="2">
        <f t="shared" si="16"/>
        <v>7.82</v>
      </c>
      <c r="AL9" s="4">
        <f t="shared" si="17"/>
        <v>19.82</v>
      </c>
      <c r="AM9" s="4">
        <f t="shared" si="18"/>
        <v>20.7</v>
      </c>
      <c r="AN9" s="4">
        <f t="shared" si="19"/>
        <v>247.05499999999998</v>
      </c>
      <c r="AO9" s="4">
        <f>AN9*Assumptions!$B$2</f>
        <v>56.822649999999996</v>
      </c>
      <c r="AP9" s="2">
        <f>I9*INDEX(PriceBook!$E:$E, MATCH("TPL0102", PriceBook!$A:$A, 0))+J9*INDEX(PriceBook!$E:$E, MATCH("TMUX1108", PriceBook!$A:$A, 0))+K9*INDEX(PriceBook!$E:$E, MATCH("ADG2128", PriceBook!$A:$A, 0))+L9*INDEX(PriceBook!$E:$E, MATCH("OPA140", PriceBook!$A:$A, 0))+L9*INDEX(PriceBook!$E:$E, MATCH("MCP6561", PriceBook!$A:$A, 0))+IF(L9&gt;0, INDEX(PriceBook!$E:$E, MATCH("TLV3501", PriceBook!$A:$A, 0)), 0)+INDEX(PriceBook!$E:$E, MATCH(M9, PriceBook!$A:$A, 0))+IF(L9&gt;=5, INDEX(PriceBook!$E:$E, MATCH("ADR4550", PriceBook!$A:$A, 0)), 0)+IF(L9&gt;=5, INDEX(PriceBook!$E:$E, MATCH("LT3042", PriceBook!$A:$A, 0)), 0)</f>
        <v>1385</v>
      </c>
      <c r="AQ9" s="4">
        <f xml:space="preserve"> Assumptions!$B$6+Assumptions!$B$10*SUM(Tiers!C9:L9)</f>
        <v>30.87</v>
      </c>
      <c r="AR9" s="4">
        <f t="shared" si="20"/>
        <v>334.74764999999996</v>
      </c>
      <c r="AS9" s="4">
        <f>AR9*Assumptions!$B$2</f>
        <v>76.991959499999993</v>
      </c>
      <c r="AT9" s="4">
        <f t="shared" si="21"/>
        <v>411.73960949999997</v>
      </c>
      <c r="AU9" s="4">
        <f t="shared" si="22"/>
        <v>500</v>
      </c>
    </row>
    <row r="10" spans="1:47" x14ac:dyDescent="0.2">
      <c r="A10" t="s">
        <v>103</v>
      </c>
      <c r="B10" t="s">
        <v>91</v>
      </c>
      <c r="C10">
        <v>1</v>
      </c>
      <c r="D10">
        <v>7</v>
      </c>
      <c r="E10">
        <v>7</v>
      </c>
      <c r="F10">
        <v>10</v>
      </c>
      <c r="G10">
        <v>0</v>
      </c>
      <c r="H10">
        <f t="shared" si="0"/>
        <v>490</v>
      </c>
      <c r="I10">
        <f t="shared" si="23"/>
        <v>490</v>
      </c>
      <c r="J10">
        <v>0</v>
      </c>
      <c r="K10">
        <f>CEILING(H10/Assumptions!$B$8,1)</f>
        <v>62</v>
      </c>
      <c r="L10">
        <f t="shared" si="1"/>
        <v>10</v>
      </c>
      <c r="M10" s="2" t="str">
        <f t="shared" si="2"/>
        <v>ADS1263</v>
      </c>
      <c r="N10" s="4">
        <f>INDEX(PriceBook!$B:$B, MATCH(M10, PriceBook!$A:$A, 0))</f>
        <v>19.82</v>
      </c>
      <c r="O10" s="2" t="str">
        <f t="shared" si="3"/>
        <v>NUCLEO_U575</v>
      </c>
      <c r="P10" s="4">
        <f>INDEX(PriceBook!$B:$B, MATCH(O10, PriceBook!$A:$A, 0))</f>
        <v>20.7</v>
      </c>
      <c r="Q10" s="2">
        <f t="shared" si="4"/>
        <v>10</v>
      </c>
      <c r="R10" s="4">
        <f>IF(Q10&gt;=100, INDEX(PriceBook!$D:$D, MATCH("OPA140", PriceBook!$A:$A, 0)), IF(Q10&gt;=10, INDEX(PriceBook!$C:$C, MATCH("OPA140", PriceBook!$A:$A, 0)), INDEX(PriceBook!$B:$B, MATCH("OPA140", PriceBook!$A:$A, 0))))</f>
        <v>2.8</v>
      </c>
      <c r="S10" s="2">
        <f t="shared" si="5"/>
        <v>28</v>
      </c>
      <c r="T10" s="2">
        <f t="shared" si="6"/>
        <v>10</v>
      </c>
      <c r="U10" s="4">
        <f>INDEX(PriceBook!$B:$B, MATCH("MCP6561", PriceBook!$A:$A, 0))</f>
        <v>0.47299999999999998</v>
      </c>
      <c r="V10" s="2">
        <f t="shared" si="7"/>
        <v>4.7299999999999995</v>
      </c>
      <c r="W10" s="2">
        <f t="shared" si="8"/>
        <v>1</v>
      </c>
      <c r="X10" s="4">
        <f>INDEX(PriceBook!$B:$B, MATCH("TLV3501", PriceBook!$A:$A, 0))</f>
        <v>3.51</v>
      </c>
      <c r="Y10" s="2">
        <f t="shared" si="9"/>
        <v>3.51</v>
      </c>
      <c r="Z10" s="4">
        <f>IF(I10&gt;=100, INDEX(PriceBook!$D:$D, MATCH("TPL0102", PriceBook!$A:$A, 0)), IF(I10&gt;=10, INDEX(PriceBook!$C:$C, MATCH("TPL0102", PriceBook!$A:$A, 0)), INDEX(PriceBook!$B:$B, MATCH("TPL0102", PriceBook!$A:$A, 0))))</f>
        <v>1.54</v>
      </c>
      <c r="AA10" s="2">
        <f t="shared" si="10"/>
        <v>754.6</v>
      </c>
      <c r="AB10" s="4">
        <f>INDEX(PriceBook!$B:$B, MATCH("TMUX1108", PriceBook!$A:$A, 0))</f>
        <v>2.86</v>
      </c>
      <c r="AC10" s="2">
        <f t="shared" si="11"/>
        <v>0</v>
      </c>
      <c r="AD10" s="4">
        <v>4</v>
      </c>
      <c r="AE10" s="2">
        <f t="shared" si="12"/>
        <v>248</v>
      </c>
      <c r="AF10" s="2">
        <f t="shared" si="13"/>
        <v>1</v>
      </c>
      <c r="AG10" s="4">
        <f>INDEX(PriceBook!$B:$B, MATCH("ADR4550", PriceBook!$A:$A, 0))</f>
        <v>7.49</v>
      </c>
      <c r="AH10" s="2">
        <f t="shared" si="14"/>
        <v>7.49</v>
      </c>
      <c r="AI10" s="2">
        <f t="shared" si="15"/>
        <v>1</v>
      </c>
      <c r="AJ10" s="4">
        <f>INDEX(PriceBook!$B:$B, MATCH("LT3042", PriceBook!$A:$A, 0))</f>
        <v>7.82</v>
      </c>
      <c r="AK10" s="2">
        <f t="shared" si="16"/>
        <v>7.82</v>
      </c>
      <c r="AL10" s="4">
        <f t="shared" si="17"/>
        <v>19.82</v>
      </c>
      <c r="AM10" s="4">
        <f t="shared" si="18"/>
        <v>20.7</v>
      </c>
      <c r="AN10" s="4">
        <f t="shared" si="19"/>
        <v>1094.67</v>
      </c>
      <c r="AO10" s="4">
        <f>AN10*Assumptions!$B$2</f>
        <v>251.77410000000003</v>
      </c>
      <c r="AP10" s="2">
        <f>I10*INDEX(PriceBook!$E:$E, MATCH("TPL0102", PriceBook!$A:$A, 0))+J10*INDEX(PriceBook!$E:$E, MATCH("TMUX1108", PriceBook!$A:$A, 0))+K10*INDEX(PriceBook!$E:$E, MATCH("ADG2128", PriceBook!$A:$A, 0))+L10*INDEX(PriceBook!$E:$E, MATCH("OPA140", PriceBook!$A:$A, 0))+L10*INDEX(PriceBook!$E:$E, MATCH("MCP6561", PriceBook!$A:$A, 0))+IF(L10&gt;0, INDEX(PriceBook!$E:$E, MATCH("TLV3501", PriceBook!$A:$A, 0)), 0)+INDEX(PriceBook!$E:$E, MATCH(M10, PriceBook!$A:$A, 0))+IF(L10&gt;=5, INDEX(PriceBook!$E:$E, MATCH("ADR4550", PriceBook!$A:$A, 0)), 0)+IF(L10&gt;=5, INDEX(PriceBook!$E:$E, MATCH("LT3042", PriceBook!$A:$A, 0)), 0)</f>
        <v>9026</v>
      </c>
      <c r="AQ10" s="4">
        <f xml:space="preserve"> Assumptions!$B$6+Assumptions!$B$10*SUM(Tiers!C10:L10)</f>
        <v>35.384999999999998</v>
      </c>
      <c r="AR10" s="4">
        <f t="shared" si="20"/>
        <v>1381.8291000000002</v>
      </c>
      <c r="AS10" s="4">
        <f>AR10*Assumptions!$B$2</f>
        <v>317.82069300000006</v>
      </c>
      <c r="AT10" s="4">
        <f t="shared" si="21"/>
        <v>1699.6497930000003</v>
      </c>
      <c r="AU10" s="4">
        <f t="shared" si="22"/>
        <v>1750</v>
      </c>
    </row>
    <row r="11" spans="1:47" x14ac:dyDescent="0.2">
      <c r="A11" t="s">
        <v>103</v>
      </c>
      <c r="B11" t="s">
        <v>92</v>
      </c>
      <c r="C11">
        <v>1</v>
      </c>
      <c r="D11">
        <v>7</v>
      </c>
      <c r="E11">
        <v>7</v>
      </c>
      <c r="F11">
        <v>10</v>
      </c>
      <c r="G11">
        <v>0</v>
      </c>
      <c r="H11">
        <f t="shared" si="0"/>
        <v>140</v>
      </c>
      <c r="I11">
        <f t="shared" si="23"/>
        <v>140</v>
      </c>
      <c r="J11">
        <v>0</v>
      </c>
      <c r="K11">
        <f>CEILING(H11/Assumptions!$B$8,1)</f>
        <v>18</v>
      </c>
      <c r="L11">
        <f t="shared" si="1"/>
        <v>10</v>
      </c>
      <c r="M11" s="2" t="str">
        <f t="shared" si="2"/>
        <v>ADS1263</v>
      </c>
      <c r="N11" s="4">
        <f>INDEX(PriceBook!$B:$B, MATCH(M11, PriceBook!$A:$A, 0))</f>
        <v>19.82</v>
      </c>
      <c r="O11" s="2" t="str">
        <f t="shared" si="3"/>
        <v>NUCLEO_U575</v>
      </c>
      <c r="P11" s="4">
        <f>INDEX(PriceBook!$B:$B, MATCH(O11, PriceBook!$A:$A, 0))</f>
        <v>20.7</v>
      </c>
      <c r="Q11" s="2">
        <f t="shared" si="4"/>
        <v>10</v>
      </c>
      <c r="R11" s="4">
        <f>IF(Q11&gt;=100, INDEX(PriceBook!$D:$D, MATCH("OPA140", PriceBook!$A:$A, 0)), IF(Q11&gt;=10, INDEX(PriceBook!$C:$C, MATCH("OPA140", PriceBook!$A:$A, 0)), INDEX(PriceBook!$B:$B, MATCH("OPA140", PriceBook!$A:$A, 0))))</f>
        <v>2.8</v>
      </c>
      <c r="S11" s="2">
        <f t="shared" si="5"/>
        <v>28</v>
      </c>
      <c r="T11" s="2">
        <f t="shared" si="6"/>
        <v>10</v>
      </c>
      <c r="U11" s="4">
        <f>INDEX(PriceBook!$B:$B, MATCH("MCP6561", PriceBook!$A:$A, 0))</f>
        <v>0.47299999999999998</v>
      </c>
      <c r="V11" s="2">
        <f t="shared" si="7"/>
        <v>4.7299999999999995</v>
      </c>
      <c r="W11" s="2">
        <f t="shared" si="8"/>
        <v>1</v>
      </c>
      <c r="X11" s="4">
        <f>INDEX(PriceBook!$B:$B, MATCH("TLV3501", PriceBook!$A:$A, 0))</f>
        <v>3.51</v>
      </c>
      <c r="Y11" s="2">
        <f t="shared" si="9"/>
        <v>3.51</v>
      </c>
      <c r="Z11" s="4">
        <f>IF(I11&gt;=100, INDEX(PriceBook!$D:$D, MATCH("TPL0102", PriceBook!$A:$A, 0)), IF(I11&gt;=10, INDEX(PriceBook!$C:$C, MATCH("TPL0102", PriceBook!$A:$A, 0)), INDEX(PriceBook!$B:$B, MATCH("TPL0102", PriceBook!$A:$A, 0))))</f>
        <v>1.54</v>
      </c>
      <c r="AA11" s="2">
        <f t="shared" si="10"/>
        <v>215.6</v>
      </c>
      <c r="AB11" s="4">
        <f>INDEX(PriceBook!$B:$B, MATCH("TMUX1108", PriceBook!$A:$A, 0))</f>
        <v>2.86</v>
      </c>
      <c r="AC11" s="2">
        <f t="shared" si="11"/>
        <v>0</v>
      </c>
      <c r="AD11" s="4">
        <v>4</v>
      </c>
      <c r="AE11" s="2">
        <f t="shared" si="12"/>
        <v>72</v>
      </c>
      <c r="AF11" s="2">
        <f t="shared" si="13"/>
        <v>1</v>
      </c>
      <c r="AG11" s="4">
        <f>INDEX(PriceBook!$B:$B, MATCH("ADR4550", PriceBook!$A:$A, 0))</f>
        <v>7.49</v>
      </c>
      <c r="AH11" s="2">
        <f t="shared" si="14"/>
        <v>7.49</v>
      </c>
      <c r="AI11" s="2">
        <f t="shared" si="15"/>
        <v>1</v>
      </c>
      <c r="AJ11" s="4">
        <f>INDEX(PriceBook!$B:$B, MATCH("LT3042", PriceBook!$A:$A, 0))</f>
        <v>7.82</v>
      </c>
      <c r="AK11" s="2">
        <f t="shared" si="16"/>
        <v>7.82</v>
      </c>
      <c r="AL11" s="4">
        <f t="shared" si="17"/>
        <v>19.82</v>
      </c>
      <c r="AM11" s="4">
        <f t="shared" si="18"/>
        <v>20.7</v>
      </c>
      <c r="AN11" s="4">
        <f t="shared" si="19"/>
        <v>379.66999999999996</v>
      </c>
      <c r="AO11" s="4">
        <f>AN11*Assumptions!$B$2</f>
        <v>87.324100000000001</v>
      </c>
      <c r="AP11" s="2">
        <f>I11*INDEX(PriceBook!$E:$E, MATCH("TPL0102", PriceBook!$A:$A, 0))+J11*INDEX(PriceBook!$E:$E, MATCH("TMUX1108", PriceBook!$A:$A, 0))+K11*INDEX(PriceBook!$E:$E, MATCH("ADG2128", PriceBook!$A:$A, 0))+L11*INDEX(PriceBook!$E:$E, MATCH("OPA140", PriceBook!$A:$A, 0))+L11*INDEX(PriceBook!$E:$E, MATCH("MCP6561", PriceBook!$A:$A, 0))+IF(L11&gt;0, INDEX(PriceBook!$E:$E, MATCH("TLV3501", PriceBook!$A:$A, 0)), 0)+INDEX(PriceBook!$E:$E, MATCH(M11, PriceBook!$A:$A, 0))+IF(L11&gt;=5, INDEX(PriceBook!$E:$E, MATCH("ADR4550", PriceBook!$A:$A, 0)), 0)+IF(L11&gt;=5, INDEX(PriceBook!$E:$E, MATCH("LT3042", PriceBook!$A:$A, 0)), 0)</f>
        <v>2718</v>
      </c>
      <c r="AQ11" s="4">
        <f xml:space="preserve"> Assumptions!$B$6+Assumptions!$B$10*SUM(Tiers!C11:L11)</f>
        <v>31.664999999999999</v>
      </c>
      <c r="AR11" s="4">
        <f t="shared" si="20"/>
        <v>498.65909999999997</v>
      </c>
      <c r="AS11" s="4">
        <f>AR11*Assumptions!$B$2</f>
        <v>114.691593</v>
      </c>
      <c r="AT11" s="4">
        <f t="shared" si="21"/>
        <v>613.35069299999998</v>
      </c>
      <c r="AU11" s="4">
        <f t="shared" si="22"/>
        <v>750</v>
      </c>
    </row>
    <row r="12" spans="1:47" x14ac:dyDescent="0.2">
      <c r="A12" t="s">
        <v>104</v>
      </c>
      <c r="B12" t="s">
        <v>91</v>
      </c>
      <c r="C12">
        <v>1</v>
      </c>
      <c r="D12">
        <v>7</v>
      </c>
      <c r="E12">
        <v>7</v>
      </c>
      <c r="F12">
        <v>10</v>
      </c>
      <c r="G12">
        <v>16</v>
      </c>
      <c r="H12">
        <f t="shared" si="0"/>
        <v>944</v>
      </c>
      <c r="I12">
        <f t="shared" si="23"/>
        <v>944</v>
      </c>
      <c r="J12">
        <v>0</v>
      </c>
      <c r="K12">
        <f>CEILING(H12/Assumptions!$B$8,1)</f>
        <v>118</v>
      </c>
      <c r="L12">
        <f t="shared" si="1"/>
        <v>26</v>
      </c>
      <c r="M12" s="2" t="str">
        <f t="shared" si="2"/>
        <v>ADS1263</v>
      </c>
      <c r="N12" s="4">
        <f>INDEX(PriceBook!$B:$B, MATCH(M12, PriceBook!$A:$A, 0))</f>
        <v>19.82</v>
      </c>
      <c r="O12" s="2" t="str">
        <f t="shared" si="3"/>
        <v>NUCLEO_U575</v>
      </c>
      <c r="P12" s="4">
        <f>INDEX(PriceBook!$B:$B, MATCH(O12, PriceBook!$A:$A, 0))</f>
        <v>20.7</v>
      </c>
      <c r="Q12" s="2">
        <f t="shared" si="4"/>
        <v>26</v>
      </c>
      <c r="R12" s="4">
        <f>IF(Q12&gt;=100, INDEX(PriceBook!$D:$D, MATCH("OPA140", PriceBook!$A:$A, 0)), IF(Q12&gt;=10, INDEX(PriceBook!$C:$C, MATCH("OPA140", PriceBook!$A:$A, 0)), INDEX(PriceBook!$B:$B, MATCH("OPA140", PriceBook!$A:$A, 0))))</f>
        <v>2.8</v>
      </c>
      <c r="S12" s="2">
        <f t="shared" si="5"/>
        <v>72.8</v>
      </c>
      <c r="T12" s="2">
        <f t="shared" si="6"/>
        <v>26</v>
      </c>
      <c r="U12" s="4">
        <f>INDEX(PriceBook!$B:$B, MATCH("MCP6561", PriceBook!$A:$A, 0))</f>
        <v>0.47299999999999998</v>
      </c>
      <c r="V12" s="2">
        <f t="shared" si="7"/>
        <v>12.298</v>
      </c>
      <c r="W12" s="2">
        <f t="shared" si="8"/>
        <v>1</v>
      </c>
      <c r="X12" s="4">
        <f>INDEX(PriceBook!$B:$B, MATCH("TLV3501", PriceBook!$A:$A, 0))</f>
        <v>3.51</v>
      </c>
      <c r="Y12" s="2">
        <f t="shared" si="9"/>
        <v>3.51</v>
      </c>
      <c r="Z12" s="4">
        <f>IF(I12&gt;=100, INDEX(PriceBook!$D:$D, MATCH("TPL0102", PriceBook!$A:$A, 0)), IF(I12&gt;=10, INDEX(PriceBook!$C:$C, MATCH("TPL0102", PriceBook!$A:$A, 0)), INDEX(PriceBook!$B:$B, MATCH("TPL0102", PriceBook!$A:$A, 0))))</f>
        <v>1.54</v>
      </c>
      <c r="AA12" s="2">
        <f t="shared" si="10"/>
        <v>1453.76</v>
      </c>
      <c r="AB12" s="4">
        <f>INDEX(PriceBook!$B:$B, MATCH("TMUX1108", PriceBook!$A:$A, 0))</f>
        <v>2.86</v>
      </c>
      <c r="AC12" s="2">
        <f t="shared" si="11"/>
        <v>0</v>
      </c>
      <c r="AD12" s="4">
        <v>4</v>
      </c>
      <c r="AE12" s="2">
        <f t="shared" si="12"/>
        <v>472</v>
      </c>
      <c r="AF12" s="2">
        <f t="shared" si="13"/>
        <v>1</v>
      </c>
      <c r="AG12" s="4">
        <f>INDEX(PriceBook!$B:$B, MATCH("ADR4550", PriceBook!$A:$A, 0))</f>
        <v>7.49</v>
      </c>
      <c r="AH12" s="2">
        <f t="shared" si="14"/>
        <v>7.49</v>
      </c>
      <c r="AI12" s="2">
        <f t="shared" si="15"/>
        <v>1</v>
      </c>
      <c r="AJ12" s="4">
        <f>INDEX(PriceBook!$B:$B, MATCH("LT3042", PriceBook!$A:$A, 0))</f>
        <v>7.82</v>
      </c>
      <c r="AK12" s="2">
        <f t="shared" si="16"/>
        <v>7.82</v>
      </c>
      <c r="AL12" s="4">
        <f t="shared" si="17"/>
        <v>19.82</v>
      </c>
      <c r="AM12" s="4">
        <f t="shared" si="18"/>
        <v>20.7</v>
      </c>
      <c r="AN12" s="4">
        <f t="shared" si="19"/>
        <v>2070.1979999999999</v>
      </c>
      <c r="AO12" s="4">
        <f>AN12*Assumptions!$B$2</f>
        <v>476.14553999999998</v>
      </c>
      <c r="AP12" s="2">
        <f>I12*INDEX(PriceBook!$E:$E, MATCH("TPL0102", PriceBook!$A:$A, 0))+J12*INDEX(PriceBook!$E:$E, MATCH("TMUX1108", PriceBook!$A:$A, 0))+K12*INDEX(PriceBook!$E:$E, MATCH("ADG2128", PriceBook!$A:$A, 0))+L12*INDEX(PriceBook!$E:$E, MATCH("OPA140", PriceBook!$A:$A, 0))+L12*INDEX(PriceBook!$E:$E, MATCH("MCP6561", PriceBook!$A:$A, 0))+IF(L12&gt;0, INDEX(PriceBook!$E:$E, MATCH("TLV3501", PriceBook!$A:$A, 0)), 0)+INDEX(PriceBook!$E:$E, MATCH(M12, PriceBook!$A:$A, 0))+IF(L12&gt;=5, INDEX(PriceBook!$E:$E, MATCH("ADR4550", PriceBook!$A:$A, 0)), 0)+IF(L12&gt;=5, INDEX(PriceBook!$E:$E, MATCH("LT3042", PriceBook!$A:$A, 0)), 0)</f>
        <v>17382</v>
      </c>
      <c r="AQ12" s="4">
        <f xml:space="preserve"> Assumptions!$B$6+Assumptions!$B$10*SUM(Tiers!C12:L12)</f>
        <v>40.365000000000002</v>
      </c>
      <c r="AR12" s="4">
        <f t="shared" si="20"/>
        <v>2586.7085399999996</v>
      </c>
      <c r="AS12" s="4">
        <f>AR12*Assumptions!$B$2</f>
        <v>594.94296419999989</v>
      </c>
      <c r="AT12" s="4">
        <f t="shared" si="21"/>
        <v>3181.6515041999996</v>
      </c>
      <c r="AU12" s="4">
        <f t="shared" si="22"/>
        <v>3500</v>
      </c>
    </row>
    <row r="13" spans="1:47" x14ac:dyDescent="0.2">
      <c r="A13" t="s">
        <v>105</v>
      </c>
      <c r="B13" t="s">
        <v>92</v>
      </c>
      <c r="C13">
        <v>1</v>
      </c>
      <c r="D13">
        <v>7</v>
      </c>
      <c r="E13">
        <v>7</v>
      </c>
      <c r="F13">
        <v>10</v>
      </c>
      <c r="G13">
        <v>16</v>
      </c>
      <c r="H13">
        <f t="shared" si="0"/>
        <v>384</v>
      </c>
      <c r="I13">
        <f t="shared" si="23"/>
        <v>384</v>
      </c>
      <c r="J13">
        <v>0</v>
      </c>
      <c r="K13">
        <f>CEILING(H13/Assumptions!$B$8,1)</f>
        <v>48</v>
      </c>
      <c r="L13">
        <f t="shared" si="1"/>
        <v>26</v>
      </c>
      <c r="M13" s="2" t="str">
        <f t="shared" si="2"/>
        <v>ADS1263</v>
      </c>
      <c r="N13" s="4">
        <f>INDEX(PriceBook!$B:$B, MATCH(M13, PriceBook!$A:$A, 0))</f>
        <v>19.82</v>
      </c>
      <c r="O13" s="2" t="str">
        <f t="shared" si="3"/>
        <v>NUCLEO_U575</v>
      </c>
      <c r="P13" s="4">
        <f>INDEX(PriceBook!$B:$B, MATCH(O13, PriceBook!$A:$A, 0))</f>
        <v>20.7</v>
      </c>
      <c r="Q13" s="2">
        <f t="shared" si="4"/>
        <v>26</v>
      </c>
      <c r="R13" s="4">
        <f>IF(Q13&gt;=100, INDEX(PriceBook!$D:$D, MATCH("OPA140", PriceBook!$A:$A, 0)), IF(Q13&gt;=10, INDEX(PriceBook!$C:$C, MATCH("OPA140", PriceBook!$A:$A, 0)), INDEX(PriceBook!$B:$B, MATCH("OPA140", PriceBook!$A:$A, 0))))</f>
        <v>2.8</v>
      </c>
      <c r="S13" s="2">
        <f t="shared" si="5"/>
        <v>72.8</v>
      </c>
      <c r="T13" s="2">
        <f t="shared" si="6"/>
        <v>26</v>
      </c>
      <c r="U13" s="4">
        <f>INDEX(PriceBook!$B:$B, MATCH("MCP6561", PriceBook!$A:$A, 0))</f>
        <v>0.47299999999999998</v>
      </c>
      <c r="V13" s="2">
        <f t="shared" si="7"/>
        <v>12.298</v>
      </c>
      <c r="W13" s="2">
        <f t="shared" si="8"/>
        <v>1</v>
      </c>
      <c r="X13" s="4">
        <f>INDEX(PriceBook!$B:$B, MATCH("TLV3501", PriceBook!$A:$A, 0))</f>
        <v>3.51</v>
      </c>
      <c r="Y13" s="2">
        <f t="shared" si="9"/>
        <v>3.51</v>
      </c>
      <c r="Z13" s="4">
        <f>IF(I13&gt;=100, INDEX(PriceBook!$D:$D, MATCH("TPL0102", PriceBook!$A:$A, 0)), IF(I13&gt;=10, INDEX(PriceBook!$C:$C, MATCH("TPL0102", PriceBook!$A:$A, 0)), INDEX(PriceBook!$B:$B, MATCH("TPL0102", PriceBook!$A:$A, 0))))</f>
        <v>1.54</v>
      </c>
      <c r="AA13" s="2">
        <f t="shared" si="10"/>
        <v>591.36</v>
      </c>
      <c r="AB13" s="4">
        <f>INDEX(PriceBook!$B:$B, MATCH("TMUX1108", PriceBook!$A:$A, 0))</f>
        <v>2.86</v>
      </c>
      <c r="AC13" s="2">
        <f t="shared" si="11"/>
        <v>0</v>
      </c>
      <c r="AD13" s="4">
        <v>4</v>
      </c>
      <c r="AE13" s="2">
        <f t="shared" si="12"/>
        <v>192</v>
      </c>
      <c r="AF13" s="2">
        <f t="shared" si="13"/>
        <v>1</v>
      </c>
      <c r="AG13" s="4">
        <f>INDEX(PriceBook!$B:$B, MATCH("ADR4550", PriceBook!$A:$A, 0))</f>
        <v>7.49</v>
      </c>
      <c r="AH13" s="2">
        <f t="shared" si="14"/>
        <v>7.49</v>
      </c>
      <c r="AI13" s="2">
        <f t="shared" si="15"/>
        <v>1</v>
      </c>
      <c r="AJ13" s="4">
        <f>INDEX(PriceBook!$B:$B, MATCH("LT3042", PriceBook!$A:$A, 0))</f>
        <v>7.82</v>
      </c>
      <c r="AK13" s="2">
        <f t="shared" si="16"/>
        <v>7.82</v>
      </c>
      <c r="AL13" s="4">
        <f t="shared" si="17"/>
        <v>19.82</v>
      </c>
      <c r="AM13" s="4">
        <f t="shared" si="18"/>
        <v>20.7</v>
      </c>
      <c r="AN13" s="4">
        <f t="shared" si="19"/>
        <v>927.79800000000023</v>
      </c>
      <c r="AO13" s="4">
        <f>AN13*Assumptions!$B$2</f>
        <v>213.39354000000006</v>
      </c>
      <c r="AP13" s="2">
        <f>I13*INDEX(PriceBook!$E:$E, MATCH("TPL0102", PriceBook!$A:$A, 0))+J13*INDEX(PriceBook!$E:$E, MATCH("TMUX1108", PriceBook!$A:$A, 0))+K13*INDEX(PriceBook!$E:$E, MATCH("ADG2128", PriceBook!$A:$A, 0))+L13*INDEX(PriceBook!$E:$E, MATCH("OPA140", PriceBook!$A:$A, 0))+L13*INDEX(PriceBook!$E:$E, MATCH("MCP6561", PriceBook!$A:$A, 0))+IF(L13&gt;0, INDEX(PriceBook!$E:$E, MATCH("TLV3501", PriceBook!$A:$A, 0)), 0)+INDEX(PriceBook!$E:$E, MATCH(M13, PriceBook!$A:$A, 0))+IF(L13&gt;=5, INDEX(PriceBook!$E:$E, MATCH("ADR4550", PriceBook!$A:$A, 0)), 0)+IF(L13&gt;=5, INDEX(PriceBook!$E:$E, MATCH("LT3042", PriceBook!$A:$A, 0)), 0)</f>
        <v>7302</v>
      </c>
      <c r="AQ13" s="4">
        <f xml:space="preserve"> Assumptions!$B$6+Assumptions!$B$10*SUM(Tiers!C13:L13)</f>
        <v>34.414999999999999</v>
      </c>
      <c r="AR13" s="4">
        <f t="shared" si="20"/>
        <v>1175.6065400000002</v>
      </c>
      <c r="AS13" s="4">
        <f>AR13*Assumptions!$B$2</f>
        <v>270.38950420000009</v>
      </c>
      <c r="AT13" s="4">
        <f t="shared" si="21"/>
        <v>1445.9960442000004</v>
      </c>
      <c r="AU13" s="4">
        <f t="shared" si="22"/>
        <v>1500</v>
      </c>
    </row>
    <row r="14" spans="1:47" x14ac:dyDescent="0.2">
      <c r="A14" t="s">
        <v>106</v>
      </c>
      <c r="B14" t="s">
        <v>91</v>
      </c>
      <c r="C14">
        <v>1</v>
      </c>
      <c r="D14">
        <v>7</v>
      </c>
      <c r="E14">
        <v>7</v>
      </c>
      <c r="F14">
        <v>10</v>
      </c>
      <c r="G14">
        <v>32</v>
      </c>
      <c r="H14">
        <f t="shared" si="0"/>
        <v>1888</v>
      </c>
      <c r="I14">
        <f t="shared" si="23"/>
        <v>1888</v>
      </c>
      <c r="J14">
        <v>0</v>
      </c>
      <c r="K14">
        <f>CEILING(H14/Assumptions!$B$8,1)</f>
        <v>236</v>
      </c>
      <c r="L14">
        <f t="shared" si="1"/>
        <v>42</v>
      </c>
      <c r="M14" s="2" t="str">
        <f t="shared" si="2"/>
        <v>ADS1263</v>
      </c>
      <c r="N14" s="4">
        <f>INDEX(PriceBook!$B:$B, MATCH(M14, PriceBook!$A:$A, 0))</f>
        <v>19.82</v>
      </c>
      <c r="O14" s="2" t="str">
        <f t="shared" si="3"/>
        <v>NUCLEO_U575</v>
      </c>
      <c r="P14" s="4">
        <f>INDEX(PriceBook!$B:$B, MATCH(O14, PriceBook!$A:$A, 0))</f>
        <v>20.7</v>
      </c>
      <c r="Q14" s="2">
        <f t="shared" si="4"/>
        <v>42</v>
      </c>
      <c r="R14" s="4">
        <f>IF(Q14&gt;=100, INDEX(PriceBook!$D:$D, MATCH("OPA140", PriceBook!$A:$A, 0)), IF(Q14&gt;=10, INDEX(PriceBook!$C:$C, MATCH("OPA140", PriceBook!$A:$A, 0)), INDEX(PriceBook!$B:$B, MATCH("OPA140", PriceBook!$A:$A, 0))))</f>
        <v>2.8</v>
      </c>
      <c r="S14" s="2">
        <f t="shared" si="5"/>
        <v>117.6</v>
      </c>
      <c r="T14" s="2">
        <f t="shared" si="6"/>
        <v>42</v>
      </c>
      <c r="U14" s="4">
        <f>INDEX(PriceBook!$B:$B, MATCH("MCP6561", PriceBook!$A:$A, 0))</f>
        <v>0.47299999999999998</v>
      </c>
      <c r="V14" s="2">
        <f t="shared" si="7"/>
        <v>19.866</v>
      </c>
      <c r="W14" s="2">
        <f t="shared" si="8"/>
        <v>1</v>
      </c>
      <c r="X14" s="4">
        <f>INDEX(PriceBook!$B:$B, MATCH("TLV3501", PriceBook!$A:$A, 0))</f>
        <v>3.51</v>
      </c>
      <c r="Y14" s="2">
        <f t="shared" si="9"/>
        <v>3.51</v>
      </c>
      <c r="Z14" s="4">
        <f>IF(I14&gt;=100, INDEX(PriceBook!$D:$D, MATCH("TPL0102", PriceBook!$A:$A, 0)), IF(I14&gt;=10, INDEX(PriceBook!$C:$C, MATCH("TPL0102", PriceBook!$A:$A, 0)), INDEX(PriceBook!$B:$B, MATCH("TPL0102", PriceBook!$A:$A, 0))))</f>
        <v>1.54</v>
      </c>
      <c r="AA14" s="2">
        <f t="shared" si="10"/>
        <v>2907.52</v>
      </c>
      <c r="AB14" s="4">
        <f>INDEX(PriceBook!$B:$B, MATCH("TMUX1108", PriceBook!$A:$A, 0))</f>
        <v>2.86</v>
      </c>
      <c r="AC14" s="2">
        <f t="shared" si="11"/>
        <v>0</v>
      </c>
      <c r="AD14" s="4">
        <v>4</v>
      </c>
      <c r="AE14" s="2">
        <f t="shared" si="12"/>
        <v>944</v>
      </c>
      <c r="AF14" s="2">
        <f t="shared" si="13"/>
        <v>1</v>
      </c>
      <c r="AG14" s="4">
        <f>INDEX(PriceBook!$B:$B, MATCH("ADR4550", PriceBook!$A:$A, 0))</f>
        <v>7.49</v>
      </c>
      <c r="AH14" s="2">
        <f t="shared" si="14"/>
        <v>7.49</v>
      </c>
      <c r="AI14" s="2">
        <f t="shared" si="15"/>
        <v>1</v>
      </c>
      <c r="AJ14" s="4">
        <f>INDEX(PriceBook!$B:$B, MATCH("LT3042", PriceBook!$A:$A, 0))</f>
        <v>7.82</v>
      </c>
      <c r="AK14" s="2">
        <f t="shared" si="16"/>
        <v>7.82</v>
      </c>
      <c r="AL14" s="4">
        <f t="shared" si="17"/>
        <v>19.82</v>
      </c>
      <c r="AM14" s="4">
        <f t="shared" si="18"/>
        <v>20.7</v>
      </c>
      <c r="AN14" s="4">
        <f t="shared" si="19"/>
        <v>4048.326</v>
      </c>
      <c r="AO14" s="4">
        <f>AN14*Assumptions!$B$2</f>
        <v>931.11498000000006</v>
      </c>
      <c r="AP14" s="2">
        <f>I14*INDEX(PriceBook!$E:$E, MATCH("TPL0102", PriceBook!$A:$A, 0))+J14*INDEX(PriceBook!$E:$E, MATCH("TMUX1108", PriceBook!$A:$A, 0))+K14*INDEX(PriceBook!$E:$E, MATCH("ADG2128", PriceBook!$A:$A, 0))+L14*INDEX(PriceBook!$E:$E, MATCH("OPA140", PriceBook!$A:$A, 0))+L14*INDEX(PriceBook!$E:$E, MATCH("MCP6561", PriceBook!$A:$A, 0))+IF(L14&gt;0, INDEX(PriceBook!$E:$E, MATCH("TLV3501", PriceBook!$A:$A, 0)), 0)+INDEX(PriceBook!$E:$E, MATCH(M14, PriceBook!$A:$A, 0))+IF(L14&gt;=5, INDEX(PriceBook!$E:$E, MATCH("ADR4550", PriceBook!$A:$A, 0)), 0)+IF(L14&gt;=5, INDEX(PriceBook!$E:$E, MATCH("LT3042", PriceBook!$A:$A, 0)), 0)</f>
        <v>34582</v>
      </c>
      <c r="AQ14" s="4">
        <f xml:space="preserve"> Assumptions!$B$6+Assumptions!$B$10*SUM(Tiers!C14:L14)</f>
        <v>50.555</v>
      </c>
      <c r="AR14" s="4">
        <f t="shared" si="20"/>
        <v>5029.9959800000006</v>
      </c>
      <c r="AS14" s="4">
        <f>AR14*Assumptions!$B$2</f>
        <v>1156.8990754000001</v>
      </c>
      <c r="AT14" s="4">
        <f t="shared" si="21"/>
        <v>6186.8950554000003</v>
      </c>
      <c r="AU14" s="4">
        <f t="shared" si="22"/>
        <v>6500</v>
      </c>
    </row>
    <row r="15" spans="1:47" x14ac:dyDescent="0.2">
      <c r="A15" t="s">
        <v>106</v>
      </c>
      <c r="B15" t="s">
        <v>92</v>
      </c>
      <c r="C15">
        <v>1</v>
      </c>
      <c r="D15">
        <v>7</v>
      </c>
      <c r="E15">
        <v>7</v>
      </c>
      <c r="F15">
        <v>10</v>
      </c>
      <c r="G15">
        <v>32</v>
      </c>
      <c r="H15">
        <f t="shared" si="0"/>
        <v>768</v>
      </c>
      <c r="I15">
        <f t="shared" si="23"/>
        <v>768</v>
      </c>
      <c r="J15">
        <v>0</v>
      </c>
      <c r="K15">
        <f>CEILING(H15/Assumptions!$B$8,1)</f>
        <v>96</v>
      </c>
      <c r="L15">
        <f t="shared" si="1"/>
        <v>42</v>
      </c>
      <c r="M15" s="2" t="str">
        <f t="shared" si="2"/>
        <v>ADS1263</v>
      </c>
      <c r="N15" s="4">
        <f>INDEX(PriceBook!$B:$B, MATCH(M15, PriceBook!$A:$A, 0))</f>
        <v>19.82</v>
      </c>
      <c r="O15" s="2" t="str">
        <f t="shared" si="3"/>
        <v>NUCLEO_U575</v>
      </c>
      <c r="P15" s="4">
        <f>INDEX(PriceBook!$B:$B, MATCH(O15, PriceBook!$A:$A, 0))</f>
        <v>20.7</v>
      </c>
      <c r="Q15" s="2">
        <f t="shared" si="4"/>
        <v>42</v>
      </c>
      <c r="R15" s="4">
        <f>IF(Q15&gt;=100, INDEX(PriceBook!$D:$D, MATCH("OPA140", PriceBook!$A:$A, 0)), IF(Q15&gt;=10, INDEX(PriceBook!$C:$C, MATCH("OPA140", PriceBook!$A:$A, 0)), INDEX(PriceBook!$B:$B, MATCH("OPA140", PriceBook!$A:$A, 0))))</f>
        <v>2.8</v>
      </c>
      <c r="S15" s="2">
        <f t="shared" si="5"/>
        <v>117.6</v>
      </c>
      <c r="T15" s="2">
        <f t="shared" si="6"/>
        <v>42</v>
      </c>
      <c r="U15" s="4">
        <f>INDEX(PriceBook!$B:$B, MATCH("MCP6561", PriceBook!$A:$A, 0))</f>
        <v>0.47299999999999998</v>
      </c>
      <c r="V15" s="2">
        <f t="shared" si="7"/>
        <v>19.866</v>
      </c>
      <c r="W15" s="2">
        <f t="shared" si="8"/>
        <v>1</v>
      </c>
      <c r="X15" s="4">
        <f>INDEX(PriceBook!$B:$B, MATCH("TLV3501", PriceBook!$A:$A, 0))</f>
        <v>3.51</v>
      </c>
      <c r="Y15" s="2">
        <f t="shared" si="9"/>
        <v>3.51</v>
      </c>
      <c r="Z15" s="4">
        <f>IF(I15&gt;=100, INDEX(PriceBook!$D:$D, MATCH("TPL0102", PriceBook!$A:$A, 0)), IF(I15&gt;=10, INDEX(PriceBook!$C:$C, MATCH("TPL0102", PriceBook!$A:$A, 0)), INDEX(PriceBook!$B:$B, MATCH("TPL0102", PriceBook!$A:$A, 0))))</f>
        <v>1.54</v>
      </c>
      <c r="AA15" s="2">
        <f t="shared" si="10"/>
        <v>1182.72</v>
      </c>
      <c r="AB15" s="4">
        <f>INDEX(PriceBook!$B:$B, MATCH("TMUX1108", PriceBook!$A:$A, 0))</f>
        <v>2.86</v>
      </c>
      <c r="AC15" s="2">
        <f t="shared" si="11"/>
        <v>0</v>
      </c>
      <c r="AD15" s="4">
        <v>4</v>
      </c>
      <c r="AE15" s="2">
        <f t="shared" si="12"/>
        <v>384</v>
      </c>
      <c r="AF15" s="2">
        <f t="shared" si="13"/>
        <v>1</v>
      </c>
      <c r="AG15" s="4">
        <f>INDEX(PriceBook!$B:$B, MATCH("ADR4550", PriceBook!$A:$A, 0))</f>
        <v>7.49</v>
      </c>
      <c r="AH15" s="2">
        <f t="shared" si="14"/>
        <v>7.49</v>
      </c>
      <c r="AI15" s="2">
        <f t="shared" si="15"/>
        <v>1</v>
      </c>
      <c r="AJ15" s="4">
        <f>INDEX(PriceBook!$B:$B, MATCH("LT3042", PriceBook!$A:$A, 0))</f>
        <v>7.82</v>
      </c>
      <c r="AK15" s="2">
        <f t="shared" si="16"/>
        <v>7.82</v>
      </c>
      <c r="AL15" s="4">
        <f t="shared" si="17"/>
        <v>19.82</v>
      </c>
      <c r="AM15" s="4">
        <f t="shared" si="18"/>
        <v>20.7</v>
      </c>
      <c r="AN15" s="4">
        <f t="shared" si="19"/>
        <v>1763.5259999999998</v>
      </c>
      <c r="AO15" s="4">
        <f>AN15*Assumptions!$B$2</f>
        <v>405.61097999999998</v>
      </c>
      <c r="AP15" s="2">
        <f>I15*INDEX(PriceBook!$E:$E, MATCH("TPL0102", PriceBook!$A:$A, 0))+J15*INDEX(PriceBook!$E:$E, MATCH("TMUX1108", PriceBook!$A:$A, 0))+K15*INDEX(PriceBook!$E:$E, MATCH("ADG2128", PriceBook!$A:$A, 0))+L15*INDEX(PriceBook!$E:$E, MATCH("OPA140", PriceBook!$A:$A, 0))+L15*INDEX(PriceBook!$E:$E, MATCH("MCP6561", PriceBook!$A:$A, 0))+IF(L15&gt;0, INDEX(PriceBook!$E:$E, MATCH("TLV3501", PriceBook!$A:$A, 0)), 0)+INDEX(PriceBook!$E:$E, MATCH(M15, PriceBook!$A:$A, 0))+IF(L15&gt;=5, INDEX(PriceBook!$E:$E, MATCH("ADR4550", PriceBook!$A:$A, 0)), 0)+IF(L15&gt;=5, INDEX(PriceBook!$E:$E, MATCH("LT3042", PriceBook!$A:$A, 0)), 0)</f>
        <v>14422</v>
      </c>
      <c r="AQ15" s="4">
        <f xml:space="preserve"> Assumptions!$B$6+Assumptions!$B$10*SUM(Tiers!C15:L15)</f>
        <v>38.655000000000001</v>
      </c>
      <c r="AR15" s="4">
        <f t="shared" si="20"/>
        <v>2207.79198</v>
      </c>
      <c r="AS15" s="4">
        <f>AR15*Assumptions!$B$2</f>
        <v>507.79215540000001</v>
      </c>
      <c r="AT15" s="4">
        <f t="shared" si="21"/>
        <v>2715.5841353999999</v>
      </c>
      <c r="AU15" s="4">
        <f t="shared" si="22"/>
        <v>3000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5"/>
  <sheetViews>
    <sheetView tabSelected="1" zoomScale="143" workbookViewId="0">
      <selection activeCell="F15" sqref="F15"/>
    </sheetView>
  </sheetViews>
  <sheetFormatPr baseColWidth="10" defaultColWidth="8.83203125" defaultRowHeight="15" x14ac:dyDescent="0.2"/>
  <cols>
    <col min="1" max="1" width="20.5" customWidth="1"/>
  </cols>
  <sheetData>
    <row r="1" spans="1:11" x14ac:dyDescent="0.2">
      <c r="A1" s="1" t="s">
        <v>47</v>
      </c>
      <c r="B1" s="1" t="s">
        <v>48</v>
      </c>
      <c r="C1" s="1" t="s">
        <v>54</v>
      </c>
      <c r="D1" s="1" t="s">
        <v>93</v>
      </c>
      <c r="E1" s="1" t="s">
        <v>94</v>
      </c>
      <c r="F1" s="1" t="s">
        <v>95</v>
      </c>
      <c r="G1" s="1" t="s">
        <v>56</v>
      </c>
      <c r="H1" s="1" t="s">
        <v>96</v>
      </c>
      <c r="I1" s="1" t="s">
        <v>86</v>
      </c>
      <c r="J1" s="1" t="s">
        <v>89</v>
      </c>
      <c r="K1" s="1" t="s">
        <v>90</v>
      </c>
    </row>
    <row r="2" spans="1:11" x14ac:dyDescent="0.2">
      <c r="A2" s="2" t="str">
        <f>Tiers!A2</f>
        <v>POC</v>
      </c>
      <c r="B2" s="2" t="str">
        <f>Tiers!B2</f>
        <v>No</v>
      </c>
      <c r="C2" s="2">
        <f>Tiers!H2</f>
        <v>1</v>
      </c>
      <c r="D2" s="2">
        <f>Tiers!I2</f>
        <v>1</v>
      </c>
      <c r="E2" s="2">
        <f>Tiers!J2</f>
        <v>0</v>
      </c>
      <c r="F2" s="2">
        <f>Tiers!K2</f>
        <v>1</v>
      </c>
      <c r="G2" s="2">
        <f>Tiers!L2</f>
        <v>1</v>
      </c>
      <c r="H2" s="4">
        <f>Tiers!AN2</f>
        <v>54.712999999999994</v>
      </c>
      <c r="I2" s="4">
        <f>Tiers!AQ2</f>
        <v>30.04</v>
      </c>
      <c r="J2" s="4">
        <f>Tiers!AT2</f>
        <v>119.72449769999999</v>
      </c>
      <c r="K2" s="4">
        <f>Tiers!AU2</f>
        <v>250</v>
      </c>
    </row>
    <row r="3" spans="1:11" x14ac:dyDescent="0.2">
      <c r="A3" s="2" t="str">
        <f>Tiers!A3</f>
        <v>POC</v>
      </c>
      <c r="B3" s="2" t="str">
        <f>Tiers!B3</f>
        <v>Yes</v>
      </c>
      <c r="C3" s="2">
        <f>Tiers!H3</f>
        <v>2</v>
      </c>
      <c r="D3" s="2">
        <f>Tiers!I3</f>
        <v>2</v>
      </c>
      <c r="E3" s="2">
        <f>Tiers!J3</f>
        <v>0</v>
      </c>
      <c r="F3" s="2">
        <f>Tiers!K3</f>
        <v>1</v>
      </c>
      <c r="G3" s="2">
        <f>Tiers!L3</f>
        <v>1</v>
      </c>
      <c r="H3" s="4">
        <f>Tiers!AN3</f>
        <v>57.233000000000004</v>
      </c>
      <c r="I3" s="4">
        <f>Tiers!AQ3</f>
        <v>30.05</v>
      </c>
      <c r="J3" s="4">
        <f>Tiers!AT3</f>
        <v>123.54930570000001</v>
      </c>
      <c r="K3" s="4">
        <f>Tiers!AU3</f>
        <v>250</v>
      </c>
    </row>
    <row r="4" spans="1:11" x14ac:dyDescent="0.2">
      <c r="A4" s="2" t="str">
        <f>Tiers!A4</f>
        <v>3x3→3</v>
      </c>
      <c r="B4" s="2" t="str">
        <f>Tiers!B4</f>
        <v>No</v>
      </c>
      <c r="C4" s="2">
        <f>Tiers!H4</f>
        <v>27</v>
      </c>
      <c r="D4" s="2">
        <f>Tiers!I4</f>
        <v>27</v>
      </c>
      <c r="E4" s="2">
        <f>Tiers!J4</f>
        <v>0</v>
      </c>
      <c r="F4" s="2">
        <f>Tiers!K4</f>
        <v>4</v>
      </c>
      <c r="G4" s="2">
        <f>Tiers!L4</f>
        <v>3</v>
      </c>
      <c r="H4" s="4">
        <f>Tiers!AN4</f>
        <v>123.009</v>
      </c>
      <c r="I4" s="4">
        <f>Tiers!AQ4</f>
        <v>30.355</v>
      </c>
      <c r="J4" s="4">
        <f>Tiers!AT4</f>
        <v>223.43696610000001</v>
      </c>
      <c r="K4" s="4">
        <f>Tiers!AU4</f>
        <v>250</v>
      </c>
    </row>
    <row r="5" spans="1:11" x14ac:dyDescent="0.2">
      <c r="A5" s="2" t="str">
        <f>Tiers!A5</f>
        <v>3x3→3</v>
      </c>
      <c r="B5" s="2" t="str">
        <f>Tiers!B5</f>
        <v>Yes</v>
      </c>
      <c r="C5" s="2">
        <f>Tiers!H5</f>
        <v>18</v>
      </c>
      <c r="D5" s="2">
        <f>Tiers!I5</f>
        <v>18</v>
      </c>
      <c r="E5" s="2">
        <f>Tiers!J5</f>
        <v>0</v>
      </c>
      <c r="F5" s="2">
        <f>Tiers!K5</f>
        <v>3</v>
      </c>
      <c r="G5" s="2">
        <f>Tiers!L5</f>
        <v>3</v>
      </c>
      <c r="H5" s="4">
        <f>Tiers!AN5</f>
        <v>102.17900000000002</v>
      </c>
      <c r="I5" s="4">
        <f>Tiers!AQ5</f>
        <v>30.26</v>
      </c>
      <c r="J5" s="4">
        <f>Tiers!AT5</f>
        <v>191.80640910000002</v>
      </c>
      <c r="K5" s="4">
        <f>Tiers!AU5</f>
        <v>250</v>
      </c>
    </row>
    <row r="6" spans="1:11" x14ac:dyDescent="0.2">
      <c r="A6" s="2" t="str">
        <f>Tiers!A6</f>
        <v>5x5→5</v>
      </c>
      <c r="B6" s="2" t="str">
        <f>Tiers!B6</f>
        <v>No</v>
      </c>
      <c r="C6" s="2">
        <f>Tiers!H6</f>
        <v>125</v>
      </c>
      <c r="D6" s="2">
        <f>Tiers!I6</f>
        <v>125</v>
      </c>
      <c r="E6" s="2">
        <f>Tiers!J6</f>
        <v>0</v>
      </c>
      <c r="F6" s="2">
        <f>Tiers!K6</f>
        <v>16</v>
      </c>
      <c r="G6" s="2">
        <f>Tiers!L6</f>
        <v>5</v>
      </c>
      <c r="H6" s="4">
        <f>Tiers!AN6</f>
        <v>336.65499999999997</v>
      </c>
      <c r="I6" s="4">
        <f>Tiers!AQ6</f>
        <v>31.434999999999999</v>
      </c>
      <c r="J6" s="4">
        <f>Tiers!AT6</f>
        <v>547.99039949999997</v>
      </c>
      <c r="K6" s="4">
        <f>Tiers!AU6</f>
        <v>750</v>
      </c>
    </row>
    <row r="7" spans="1:11" x14ac:dyDescent="0.2">
      <c r="A7" s="2" t="str">
        <f>Tiers!A7</f>
        <v>5x5→5</v>
      </c>
      <c r="B7" s="2" t="str">
        <f>Tiers!B7</f>
        <v>Yes</v>
      </c>
      <c r="C7" s="2">
        <f>Tiers!H7</f>
        <v>50</v>
      </c>
      <c r="D7" s="2">
        <f>Tiers!I7</f>
        <v>50</v>
      </c>
      <c r="E7" s="2">
        <f>Tiers!J7</f>
        <v>0</v>
      </c>
      <c r="F7" s="2">
        <f>Tiers!K7</f>
        <v>7</v>
      </c>
      <c r="G7" s="2">
        <f>Tiers!L7</f>
        <v>5</v>
      </c>
      <c r="H7" s="4">
        <f>Tiers!AN7</f>
        <v>201.65499999999997</v>
      </c>
      <c r="I7" s="4">
        <f>Tiers!AQ7</f>
        <v>30.64</v>
      </c>
      <c r="J7" s="4">
        <f>Tiers!AT7</f>
        <v>342.77104949999995</v>
      </c>
      <c r="K7" s="4">
        <f>Tiers!AU7</f>
        <v>500</v>
      </c>
    </row>
    <row r="8" spans="1:11" x14ac:dyDescent="0.2">
      <c r="A8" s="2" t="str">
        <f>Tiers!A8</f>
        <v>7x7→5</v>
      </c>
      <c r="B8" s="2" t="str">
        <f>Tiers!B8</f>
        <v>No</v>
      </c>
      <c r="C8" s="2">
        <f>Tiers!H8</f>
        <v>245</v>
      </c>
      <c r="D8" s="2">
        <f>Tiers!I8</f>
        <v>245</v>
      </c>
      <c r="E8" s="2">
        <f>Tiers!J8</f>
        <v>0</v>
      </c>
      <c r="F8" s="2">
        <f>Tiers!K8</f>
        <v>31</v>
      </c>
      <c r="G8" s="2">
        <f>Tiers!L8</f>
        <v>5</v>
      </c>
      <c r="H8" s="4">
        <f>Tiers!AN8</f>
        <v>581.45500000000015</v>
      </c>
      <c r="I8" s="4">
        <f>Tiers!AQ8</f>
        <v>32.729999999999997</v>
      </c>
      <c r="J8" s="4">
        <f>Tiers!AT8</f>
        <v>919.94116950000034</v>
      </c>
      <c r="K8" s="4">
        <f>Tiers!AU8</f>
        <v>1000</v>
      </c>
    </row>
    <row r="9" spans="1:11" s="9" customFormat="1" ht="16" x14ac:dyDescent="0.2">
      <c r="A9" s="7" t="str">
        <f>Tiers!A9</f>
        <v>7x7→5</v>
      </c>
      <c r="B9" s="7" t="str">
        <f>Tiers!B9</f>
        <v>Yes</v>
      </c>
      <c r="C9" s="7">
        <f>Tiers!H9</f>
        <v>70</v>
      </c>
      <c r="D9" s="7">
        <f>Tiers!I9</f>
        <v>70</v>
      </c>
      <c r="E9" s="7">
        <f>Tiers!J9</f>
        <v>0</v>
      </c>
      <c r="F9" s="7">
        <f>Tiers!K9</f>
        <v>9</v>
      </c>
      <c r="G9" s="7">
        <f>Tiers!L9</f>
        <v>5</v>
      </c>
      <c r="H9" s="8">
        <f>Tiers!AN9</f>
        <v>247.05499999999998</v>
      </c>
      <c r="I9" s="8">
        <f>Tiers!AQ9</f>
        <v>30.87</v>
      </c>
      <c r="J9" s="8">
        <f>Tiers!AT9</f>
        <v>411.73960949999997</v>
      </c>
      <c r="K9" s="8">
        <f>Tiers!AU9</f>
        <v>500</v>
      </c>
    </row>
    <row r="10" spans="1:11" x14ac:dyDescent="0.2">
      <c r="A10" s="2" t="str">
        <f>Tiers!A10</f>
        <v>7x7→10</v>
      </c>
      <c r="B10" s="2" t="str">
        <f>Tiers!B10</f>
        <v>No</v>
      </c>
      <c r="C10" s="2">
        <f>Tiers!H10</f>
        <v>490</v>
      </c>
      <c r="D10" s="2">
        <f>Tiers!I10</f>
        <v>490</v>
      </c>
      <c r="E10" s="2">
        <f>Tiers!J10</f>
        <v>0</v>
      </c>
      <c r="F10" s="2">
        <f>Tiers!K10</f>
        <v>62</v>
      </c>
      <c r="G10" s="2">
        <f>Tiers!L10</f>
        <v>10</v>
      </c>
      <c r="H10" s="4">
        <f>Tiers!AN10</f>
        <v>1094.67</v>
      </c>
      <c r="I10" s="4">
        <f>Tiers!AQ10</f>
        <v>35.384999999999998</v>
      </c>
      <c r="J10" s="4">
        <f>Tiers!AT10</f>
        <v>1699.6497930000003</v>
      </c>
      <c r="K10" s="4">
        <f>Tiers!AU10</f>
        <v>1750</v>
      </c>
    </row>
    <row r="11" spans="1:11" x14ac:dyDescent="0.2">
      <c r="A11" s="2" t="str">
        <f>Tiers!A11</f>
        <v>7x7→10</v>
      </c>
      <c r="B11" s="2" t="str">
        <f>Tiers!B11</f>
        <v>Yes</v>
      </c>
      <c r="C11" s="2">
        <f>Tiers!H11</f>
        <v>140</v>
      </c>
      <c r="D11" s="2">
        <f>Tiers!I11</f>
        <v>140</v>
      </c>
      <c r="E11" s="2">
        <f>Tiers!J11</f>
        <v>0</v>
      </c>
      <c r="F11" s="2">
        <f>Tiers!K11</f>
        <v>18</v>
      </c>
      <c r="G11" s="2">
        <f>Tiers!L11</f>
        <v>10</v>
      </c>
      <c r="H11" s="4">
        <f>Tiers!AN11</f>
        <v>379.66999999999996</v>
      </c>
      <c r="I11" s="4">
        <f>Tiers!AQ11</f>
        <v>31.664999999999999</v>
      </c>
      <c r="J11" s="4">
        <f>Tiers!AT11</f>
        <v>613.35069299999998</v>
      </c>
      <c r="K11" s="4">
        <f>Tiers!AU11</f>
        <v>750</v>
      </c>
    </row>
    <row r="12" spans="1:11" x14ac:dyDescent="0.2">
      <c r="A12" s="2" t="str">
        <f>Tiers!A12</f>
        <v xml:space="preserve"> 7x7→16→10</v>
      </c>
      <c r="B12" s="2" t="str">
        <f>Tiers!B12</f>
        <v>No</v>
      </c>
      <c r="C12" s="2">
        <f>Tiers!H12</f>
        <v>944</v>
      </c>
      <c r="D12" s="2">
        <f>Tiers!I12</f>
        <v>944</v>
      </c>
      <c r="E12" s="2">
        <f>Tiers!J12</f>
        <v>0</v>
      </c>
      <c r="F12" s="2">
        <f>Tiers!K12</f>
        <v>118</v>
      </c>
      <c r="G12" s="2">
        <f>Tiers!L12</f>
        <v>26</v>
      </c>
      <c r="H12" s="4">
        <f>Tiers!AN12</f>
        <v>2070.1979999999999</v>
      </c>
      <c r="I12" s="4">
        <f>Tiers!AQ12</f>
        <v>40.365000000000002</v>
      </c>
      <c r="J12" s="4">
        <f>Tiers!AT12</f>
        <v>3181.6515041999996</v>
      </c>
      <c r="K12" s="4">
        <f>Tiers!AU12</f>
        <v>3500</v>
      </c>
    </row>
    <row r="13" spans="1:11" x14ac:dyDescent="0.2">
      <c r="A13" s="2" t="str">
        <f>Tiers!A13</f>
        <v>7x7→16→10</v>
      </c>
      <c r="B13" s="2" t="str">
        <f>Tiers!B13</f>
        <v>Yes</v>
      </c>
      <c r="C13" s="2">
        <f>Tiers!H13</f>
        <v>384</v>
      </c>
      <c r="D13" s="2">
        <f>Tiers!I13</f>
        <v>384</v>
      </c>
      <c r="E13" s="2">
        <f>Tiers!J13</f>
        <v>0</v>
      </c>
      <c r="F13" s="2">
        <f>Tiers!K13</f>
        <v>48</v>
      </c>
      <c r="G13" s="2">
        <f>Tiers!L13</f>
        <v>26</v>
      </c>
      <c r="H13" s="4">
        <f>Tiers!AN13</f>
        <v>927.79800000000023</v>
      </c>
      <c r="I13" s="4">
        <f>Tiers!AQ13</f>
        <v>34.414999999999999</v>
      </c>
      <c r="J13" s="4">
        <f>Tiers!AT13</f>
        <v>1445.9960442000004</v>
      </c>
      <c r="K13" s="4">
        <f>Tiers!AU13</f>
        <v>1500</v>
      </c>
    </row>
    <row r="14" spans="1:11" x14ac:dyDescent="0.2">
      <c r="A14" s="2" t="str">
        <f>Tiers!A14</f>
        <v>7x7→32→10</v>
      </c>
      <c r="B14" s="2" t="str">
        <f>Tiers!B14</f>
        <v>No</v>
      </c>
      <c r="C14" s="2">
        <f>Tiers!H14</f>
        <v>1888</v>
      </c>
      <c r="D14" s="2">
        <f>Tiers!I14</f>
        <v>1888</v>
      </c>
      <c r="E14" s="2">
        <f>Tiers!J14</f>
        <v>0</v>
      </c>
      <c r="F14" s="2">
        <f>Tiers!K14</f>
        <v>236</v>
      </c>
      <c r="G14" s="2">
        <f>Tiers!L14</f>
        <v>42</v>
      </c>
      <c r="H14" s="4">
        <f>Tiers!AN14</f>
        <v>4048.326</v>
      </c>
      <c r="I14" s="4">
        <f>Tiers!AQ14</f>
        <v>50.555</v>
      </c>
      <c r="J14" s="4">
        <f>Tiers!AT14</f>
        <v>6186.8950554000003</v>
      </c>
      <c r="K14" s="4">
        <f>Tiers!AU14</f>
        <v>6500</v>
      </c>
    </row>
    <row r="15" spans="1:11" x14ac:dyDescent="0.2">
      <c r="A15" s="2" t="str">
        <f>Tiers!A15</f>
        <v>7x7→32→10</v>
      </c>
      <c r="B15" s="2" t="str">
        <f>Tiers!B15</f>
        <v>Yes</v>
      </c>
      <c r="C15" s="2">
        <f>Tiers!H15</f>
        <v>768</v>
      </c>
      <c r="D15" s="2">
        <f>Tiers!I15</f>
        <v>768</v>
      </c>
      <c r="E15" s="2">
        <f>Tiers!J15</f>
        <v>0</v>
      </c>
      <c r="F15" s="2">
        <f>Tiers!K15</f>
        <v>96</v>
      </c>
      <c r="G15" s="2">
        <f>Tiers!L15</f>
        <v>42</v>
      </c>
      <c r="H15" s="4">
        <f>Tiers!AN15</f>
        <v>1763.5259999999998</v>
      </c>
      <c r="I15" s="4">
        <f>Tiers!AQ15</f>
        <v>38.655000000000001</v>
      </c>
      <c r="J15" s="4">
        <f>Tiers!AT15</f>
        <v>2715.5841353999999</v>
      </c>
      <c r="K15" s="4">
        <f>Tiers!AU15</f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PriceBook</vt:lpstr>
      <vt:lpstr>Tiers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Eoghan Collins</cp:lastModifiedBy>
  <dcterms:created xsi:type="dcterms:W3CDTF">2025-10-06T15:53:42Z</dcterms:created>
  <dcterms:modified xsi:type="dcterms:W3CDTF">2025-11-03T16:01:12Z</dcterms:modified>
</cp:coreProperties>
</file>